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Recomendacoes" sheetId="2" state="visible" r:id="rId4"/>
    <sheet name="KPIs_Mensais" sheetId="3" state="visible" r:id="rId5"/>
    <sheet name="Logistica_UF" sheetId="4" state="visible" r:id="rId6"/>
    <sheet name="Atraso_vs_Nota" sheetId="5" state="visible" r:id="rId7"/>
    <sheet name="Categorias" sheetId="6" state="visible" r:id="rId8"/>
    <sheet name="Clientes_RFM" sheetId="7" state="visible" r:id="rId9"/>
    <sheet name="Vendedores" sheetId="8" state="visible" r:id="rId10"/>
    <sheet name="Modelo_Risco" sheetId="9" state="visible" r:id="rId11"/>
    <sheet name="Not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<sst xmlns="http://schemas.openxmlformats.org/spreadsheetml/2006/main" count="346" uniqueCount="280">
  <si>
    <t xml:space="preserve">Olist: resumo executivo</t>
  </si>
  <si>
    <t xml:space="preserve">Marketplace brasileiro | pedidos entregues, compra de jan/2017 a ago/2018 | dados reais públicos (Kaggle). Todos os números abaixo são fórmulas ligadas às demais abas.</t>
  </si>
  <si>
    <t xml:space="preserve">Indicadores-chave</t>
  </si>
  <si>
    <t xml:space="preserve">Indicador</t>
  </si>
  <si>
    <t xml:space="preserve">Valor</t>
  </si>
  <si>
    <t xml:space="preserve">Leitura</t>
  </si>
  <si>
    <t xml:space="preserve">Receita (itens, R$)</t>
  </si>
  <si>
    <t xml:space="preserve">Receita de produtos, sem frete e sem margem (a base não tem custos).</t>
  </si>
  <si>
    <t xml:space="preserve">Pedidos entregues</t>
  </si>
  <si>
    <t xml:space="preserve">Escopo: status entregue, 20 meses completos.</t>
  </si>
  <si>
    <t xml:space="preserve">Receita por Pedido (R$)</t>
  </si>
  <si>
    <t xml:space="preserve">Estável ao longo do período: o crescimento vem de volume.</t>
  </si>
  <si>
    <t xml:space="preserve">Receita YoY % (jan-ago/2018 vs jan-ago/2017)</t>
  </si>
  <si>
    <t xml:space="preserve">Mesmos oito meses de cada ano, para comparação justa.</t>
  </si>
  <si>
    <t xml:space="preserve">% Atraso</t>
  </si>
  <si>
    <t xml:space="preserve">Atraso medido contra a data estimada informada ao cliente.</t>
  </si>
  <si>
    <t xml:space="preserve">Nota Média (1 a 5)</t>
  </si>
  <si>
    <t xml:space="preserve">Média geral; veja a queda por faixa de atraso abaixo.</t>
  </si>
  <si>
    <t xml:space="preserve">Taxa de Recompra %</t>
  </si>
  <si>
    <t xml:space="preserve">Clientes com 2 ou mais pedidos: retenção é o maior espaço de crescimento.</t>
  </si>
  <si>
    <t xml:space="preserve">Receita Top 20% Vendedores %</t>
  </si>
  <si>
    <t xml:space="preserve">Receita concentrada em poucos vendedores.</t>
  </si>
  <si>
    <t xml:space="preserve">Principais achados</t>
  </si>
  <si>
    <t xml:space="preserve">Achado</t>
  </si>
  <si>
    <t xml:space="preserve">Atraso derruba a nota</t>
  </si>
  <si>
    <t xml:space="preserve">Nota média dos pedidos entregues no prazo</t>
  </si>
  <si>
    <t xml:space="preserve">Nota média dos pedidos com atraso acima de 7 dias</t>
  </si>
  <si>
    <t xml:space="preserve">Poucos pedidos atrasados concentram a insatisfação</t>
  </si>
  <si>
    <t xml:space="preserve">% dos pedidos com atraso, entre os que têm avaliação (difere levemente do indicador geral)</t>
  </si>
  <si>
    <t xml:space="preserve">% das notas baixas (1 a 2) vindas desses pedidos</t>
  </si>
  <si>
    <t xml:space="preserve">Nordeste sofre mais com a entrega</t>
  </si>
  <si>
    <t xml:space="preserve">% de atraso no Nordeste</t>
  </si>
  <si>
    <t xml:space="preserve">% de atraso no Sudeste (referência)</t>
  </si>
  <si>
    <t xml:space="preserve">Prazo apertado para a rota atrasa muito mais</t>
  </si>
  <si>
    <t xml:space="preserve">Taxa de atraso quando o prazo prometido é igual ou menor que o típico da rota</t>
  </si>
  <si>
    <t xml:space="preserve">Taxa de atraso quando há folga de mais de 15 dias</t>
  </si>
  <si>
    <t xml:space="preserve">Dá para antecipar parte dos atrasos na compra</t>
  </si>
  <si>
    <t xml:space="preserve">% dos atrasos capturados ao sinalizar os 10% de pedidos de maior risco</t>
  </si>
  <si>
    <t xml:space="preserve">Black Friday exige capacidade</t>
  </si>
  <si>
    <t xml:space="preserve">Variação da receita de nov/2017 sobre out/2017</t>
  </si>
  <si>
    <t xml:space="preserve">Gráficos</t>
  </si>
  <si>
    <t xml:space="preserve">Recomendações priorizadas</t>
  </si>
  <si>
    <t xml:space="preserve">Prioridade = julgamento do analista a partir da evidência. Valores são fórmulas ligadas às abas de dados (verde).</t>
  </si>
  <si>
    <t xml:space="preserve">#</t>
  </si>
  <si>
    <t xml:space="preserve">Prioridade</t>
  </si>
  <si>
    <t xml:space="preserve">Área</t>
  </si>
  <si>
    <t xml:space="preserve">Ação recomendada</t>
  </si>
  <si>
    <t xml:space="preserve">Evidência</t>
  </si>
  <si>
    <t xml:space="preserve">Métrica-chave (valor atual | referência)</t>
  </si>
  <si>
    <t xml:space="preserve">Valor atual</t>
  </si>
  <si>
    <t xml:space="preserve">Referência</t>
  </si>
  <si>
    <t xml:space="preserve">Alta</t>
  </si>
  <si>
    <t xml:space="preserve">Operações / Atendimento</t>
  </si>
  <si>
    <t xml:space="preserve">Tratar atrasos acima de 3 dias como incidente: aviso proativo ao cliente, atendimento prioritário e compensação.</t>
  </si>
  <si>
    <t xml:space="preserve">A nota despenca nos atrasos mais longos, onde a maioria das avaliações é 1 ou 2.</t>
  </si>
  <si>
    <t xml:space="preserve">Nota média com atraso &gt; 7 dias | nota média no prazo</t>
  </si>
  <si>
    <t xml:space="preserve">Logística</t>
  </si>
  <si>
    <t xml:space="preserve">Atacar a logística do Nordeste (AL, MA, PI, CE, SE, BA): revisar transportadoras e rotas; avaliar centros de distribuição.</t>
  </si>
  <si>
    <t xml:space="preserve">Maiores taxas de atraso, prazos mais longos e frete mais pesado.</t>
  </si>
  <si>
    <t xml:space="preserve">% de atraso no Nordeste | Sudeste</t>
  </si>
  <si>
    <t xml:space="preserve">Logística / Produto</t>
  </si>
  <si>
    <t xml:space="preserve">Calibrar o prazo prometido pela rota: onde o prazo é igual ou menor que o típico, estender a promessa ou reforçar a operação. Testar em A/B o efeito na conversão.</t>
  </si>
  <si>
    <t xml:space="preserve">Prazo apertado para a rota atrasa muito mais; o prazo bruto sozinho não é bom preditor.</t>
  </si>
  <si>
    <t xml:space="preserve">Atraso com folga &lt;= 0 | folga &gt; 15 dias</t>
  </si>
  <si>
    <t xml:space="preserve">Operações / Dados</t>
  </si>
  <si>
    <t xml:space="preserve">Triagem proativa: sinalizar o top 10% de risco para aviso ao cliente, priorização no despacho e acompanhamento.</t>
  </si>
  <si>
    <t xml:space="preserve">Os pedidos de maior risco concentram boa parte dos atrasos.</t>
  </si>
  <si>
    <t xml:space="preserve">Atrasos capturados no top 10% | sorteio aleatório</t>
  </si>
  <si>
    <t xml:space="preserve">Média</t>
  </si>
  <si>
    <t xml:space="preserve">Comercial / CRM</t>
  </si>
  <si>
    <t xml:space="preserve">Reativar clientes inativos de alto valor e fazer onboarding dos novos de alto valor.</t>
  </si>
  <si>
    <t xml:space="preserve">A recompra é muito baixa e não é explicada por atraso ou nota baixa; o gargalo é relacionamento.</t>
  </si>
  <si>
    <t xml:space="preserve">% da receita nos inativos de alto valor | taxa de recompra</t>
  </si>
  <si>
    <t xml:space="preserve">Comercial</t>
  </si>
  <si>
    <t xml:space="preserve">Reduzir a dependência de poucos vendedores: programa de desenvolvimento do 2º quintil e monitoramento de risco nos maiores.</t>
  </si>
  <si>
    <t xml:space="preserve">A receita está concentrada nos maiores vendedores.</t>
  </si>
  <si>
    <t xml:space="preserve">% da receita dos 20% maiores | 20% proporcional</t>
  </si>
  <si>
    <t xml:space="preserve">Operações</t>
  </si>
  <si>
    <t xml:space="preserve">Planejar capacidade para picos sazonais (Black Friday).</t>
  </si>
  <si>
    <t xml:space="preserve">Pico expressivo de receita e de atraso em nov/2017.</t>
  </si>
  <si>
    <t xml:space="preserve">Receita nov/17 sobre out/17 | média mensal de variação</t>
  </si>
  <si>
    <t xml:space="preserve">Dados</t>
  </si>
  <si>
    <t xml:space="preserve">Retreinar o modelo todo mês e monitorar o AUC; investigar se cair perto de 0,6.</t>
  </si>
  <si>
    <t xml:space="preserve">A política de prazos mudou em 2018 e relações do passado deixaram de valer (concept drift).</t>
  </si>
  <si>
    <t xml:space="preserve">AUC médio | AUC do pior mês</t>
  </si>
  <si>
    <t xml:space="preserve">KPIs mensais</t>
  </si>
  <si>
    <t xml:space="preserve">Pedidos entregues, compra entre jan/2017 e ago/2018. Azul = dado de entrada; preto = fórmula.</t>
  </si>
  <si>
    <t xml:space="preserve">Ano-Mês</t>
  </si>
  <si>
    <t xml:space="preserve">Ano</t>
  </si>
  <si>
    <t xml:space="preserve">Mês</t>
  </si>
  <si>
    <t xml:space="preserve">Pedidos</t>
  </si>
  <si>
    <t xml:space="preserve">Receita (R$)</t>
  </si>
  <si>
    <t xml:space="preserve">Receita por Pedido (R$)</t>
  </si>
  <si>
    <t xml:space="preserve">Entregues c/ data</t>
  </si>
  <si>
    <t xml:space="preserve">Atrasados</t>
  </si>
  <si>
    <t xml:space="preserve">% Atraso</t>
  </si>
  <si>
    <t xml:space="preserve">Avaliações</t>
  </si>
  <si>
    <t xml:space="preserve">Soma das notas</t>
  </si>
  <si>
    <t xml:space="preserve">Nota Média</t>
  </si>
  <si>
    <t xml:space="preserve">Receita MoM %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</si>
  <si>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</si>
  <si>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</si>
  <si>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</si>
  <si>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</si>
  <si>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</si>
  <si>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</si>
  <si>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</si>
  <si>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</si>
  <si>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</si>
  <si>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</si>
  <si>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</si>
  <si>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</si>
  <si>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</si>
  <si>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</si>
  <si>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</si>
  <si>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</si>
  <si>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</si>
  <si>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</si>
  <si>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</si>
  <si>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</si>
  <si>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Total</t>
  </si>
  <si>
    <t xml:space="preserve">Logística por estado e região</t>
  </si>
  <si>
    <t xml:space="preserve">Entrega x prazo estimado. UFs com menos de 200 pedidos têm amostra pequena. Azul = dado de entrada; preto = fórmula.</t>
  </si>
  <si>
    <t xml:space="preserve">UF</t>
  </si>
  <si>
    <t xml:space="preserve">Região</t>
  </si>
  <si>
    <t xml:space="preserve">Entrega Média (dias)</t>
  </si>
  <si>
    <t xml:space="preserve">Frete % Receita</t>
  </si>
  <si>
    <t xml:space="preserve">Amostra</t>
  </si>
  <si>
    <t xml:space="preserve">Frete (R$)</t>
  </si>
  <si>
    <t xml:space="preserve">Soma dias entrega</t>
  </si>
  <si>
    <t xml:space="preserve">AL</t>
  </si>
  <si>
    <t xml:space="preserve">Nordeste</t>
  </si>
  <si>
    <t xml:space="preserve">MA</t>
  </si>
  <si>
    <t xml:space="preserve">PI</t>
  </si>
  <si>
    <t xml:space="preserve">CE</t>
  </si>
  <si>
    <t xml:space="preserve">SE</t>
  </si>
  <si>
    <t xml:space="preserve">BA</t>
  </si>
  <si>
    <t xml:space="preserve">RJ</t>
  </si>
  <si>
    <t xml:space="preserve">Sudeste</t>
  </si>
  <si>
    <t xml:space="preserve">TO</t>
  </si>
  <si>
    <t xml:space="preserve">Norte</t>
  </si>
  <si>
    <t xml:space="preserve">RR</t>
  </si>
  <si>
    <t xml:space="preserve">PA</t>
  </si>
  <si>
    <t xml:space="preserve">ES</t>
  </si>
  <si>
    <t xml:space="preserve">MS</t>
  </si>
  <si>
    <t xml:space="preserve">Centro-Oeste</t>
  </si>
  <si>
    <t xml:space="preserve">PB</t>
  </si>
  <si>
    <t xml:space="preserve">RN</t>
  </si>
  <si>
    <t xml:space="preserve">PE</t>
  </si>
  <si>
    <t xml:space="preserve">SC</t>
  </si>
  <si>
    <t xml:space="preserve">Sul</t>
  </si>
  <si>
    <t xml:space="preserve">GO</t>
  </si>
  <si>
    <t xml:space="preserve">RS</t>
  </si>
  <si>
    <t xml:space="preserve">DF</t>
  </si>
  <si>
    <t xml:space="preserve">MT</t>
  </si>
  <si>
    <t xml:space="preserve">SP</t>
  </si>
  <si>
    <t xml:space="preserve">MG</t>
  </si>
  <si>
    <t xml:space="preserve">PR</t>
  </si>
  <si>
    <t xml:space="preserve">AP</t>
  </si>
  <si>
    <t xml:space="preserve">AM</t>
  </si>
  <si>
    <t xml:space="preserve">AC</t>
  </si>
  <si>
    <t xml:space="preserve">RO</t>
  </si>
  <si>
    <t xml:space="preserve">Por região</t>
  </si>
  <si>
    <t xml:space="preserve">Atraso x satisfação do cliente</t>
  </si>
  <si>
    <t xml:space="preserve">Pedidos entregues com data de entrega e avaliação. Azul = dado de entrada; preto = fórmula.</t>
  </si>
  <si>
    <t xml:space="preserve">Faixa de atraso</t>
  </si>
  <si>
    <t xml:space="preserve">Notas baixas (1 a 2)</t>
  </si>
  <si>
    <t xml:space="preserve">% Notas Baixas</t>
  </si>
  <si>
    <t xml:space="preserve">% dos pedidos</t>
  </si>
  <si>
    <t xml:space="preserve">% das notas baixas totais</t>
  </si>
  <si>
    <t xml:space="preserve">1. No prazo</t>
  </si>
  <si>
    <t xml:space="preserve">2. Atraso 1-3 dias</t>
  </si>
  <si>
    <t xml:space="preserve">3. Atraso 4-7 dias</t>
  </si>
  <si>
    <t xml:space="preserve">4. Atraso &gt; 7 dias</t>
  </si>
  <si>
    <t xml:space="preserve">Indicadores derivados</t>
  </si>
  <si>
    <t xml:space="preserve">% dos pedidos que chegaram com atraso</t>
  </si>
  <si>
    <t xml:space="preserve">% das notas baixas vindas de pedidos atrasados</t>
  </si>
  <si>
    <t xml:space="preserve">Queda de nota: no prazo vs atraso &gt; 7 dias</t>
  </si>
  <si>
    <t xml:space="preserve">Receita por categoria: Top 10</t>
  </si>
  <si>
    <t xml:space="preserve">Receita de itens (pedidos entregues, jan/2017 a ago/2018). Azul = dado de entrada; verde = vínculo com outra aba; preto = fórmula.</t>
  </si>
  <si>
    <t xml:space="preserve">Categoria</t>
  </si>
  <si>
    <t xml:space="preserve">% da receita</t>
  </si>
  <si>
    <t xml:space="preserve">% acumulado</t>
  </si>
  <si>
    <t xml:space="preserve">Beleza e Saúde</t>
  </si>
  <si>
    <t xml:space="preserve">Relógios e Presentes</t>
  </si>
  <si>
    <t xml:space="preserve">Cama, Mesa e Banho</t>
  </si>
  <si>
    <t xml:space="preserve">Esporte e Lazer</t>
  </si>
  <si>
    <t xml:space="preserve">Informática e Acessórios</t>
  </si>
  <si>
    <t xml:space="preserve">Móveis e Decoração</t>
  </si>
  <si>
    <t xml:space="preserve">Utilidades Domésticas</t>
  </si>
  <si>
    <t xml:space="preserve">Gadgets e Novidades</t>
  </si>
  <si>
    <t xml:space="preserve">Automotivo</t>
  </si>
  <si>
    <t xml:space="preserve">Ferramentas de Jardim</t>
  </si>
  <si>
    <t xml:space="preserve">Demais categorias</t>
  </si>
  <si>
    <t xml:space="preserve">Total (= receita da aba KPIs_Mensais)</t>
  </si>
  <si>
    <t xml:space="preserve">Categorias no top 10 respondem por</t>
  </si>
  <si>
    <t xml:space="preserve">Clientes: recompra e segmentação RFM</t>
  </si>
  <si>
    <t xml:space="preserve">Segmentos por regras de negócio (recência, valor, recorrência) sobre o período inteiro. Azul = dado de entrada; preto = fórmula.</t>
  </si>
  <si>
    <t xml:space="preserve">Segmento</t>
  </si>
  <si>
    <t xml:space="preserve">Clientes</t>
  </si>
  <si>
    <t xml:space="preserve">% Clientes</t>
  </si>
  <si>
    <t xml:space="preserve">% Receita</t>
  </si>
  <si>
    <t xml:space="preserve">Receita por cliente (R$)</t>
  </si>
  <si>
    <t xml:space="preserve">Novos de alto valor</t>
  </si>
  <si>
    <t xml:space="preserve">Inativos de alto valor</t>
  </si>
  <si>
    <t xml:space="preserve">Intermediários</t>
  </si>
  <si>
    <t xml:space="preserve">Inativos</t>
  </si>
  <si>
    <t xml:space="preserve">Novos</t>
  </si>
  <si>
    <t xml:space="preserve">Recorrentes</t>
  </si>
  <si>
    <t xml:space="preserve">Taxa de recompra (clientes com 2+ pedidos)</t>
  </si>
  <si>
    <t xml:space="preserve">% da receita: Inativos de alto valor</t>
  </si>
  <si>
    <t xml:space="preserve">Clientes: Inativos de alto valor</t>
  </si>
  <si>
    <t xml:space="preserve">Receita por cliente: Inativos de alto valor</t>
  </si>
  <si>
    <t xml:space="preserve">Concentração de receita por vendedor</t>
  </si>
  <si>
    <t xml:space="preserve">Vendedores ordenados por receita e divididos em 5 grupos de igual tamanho (quintis). Azul = dado de entrada; preto = fórmula.</t>
  </si>
  <si>
    <t xml:space="preserve">Quintil (1 = maiores)</t>
  </si>
  <si>
    <t xml:space="preserve">Vendedores</t>
  </si>
  <si>
    <t xml:space="preserve">% vendedores</t>
  </si>
  <si>
    <t xml:space="preserve">% receita acumulado</t>
  </si>
  <si>
    <t xml:space="preserve">Os 20% maiores vendedores respondem por</t>
  </si>
  <si>
    <t xml:space="preserve">Os 40% menores vendedores respondem por</t>
  </si>
  <si>
    <t xml:space="preserve">Modelo de risco de atraso (resultados fora do tempo)</t>
  </si>
  <si>
    <t xml:space="preserve">Fonte: notebook 02. 12 janelas móveis (set/2017 a ago/2018), 74.206 pedidos. Azul = dado de entrada do notebook; preto = fórmula.</t>
  </si>
  <si>
    <t xml:space="preserve">1. Taxa de atraso por folga do prazo (prazo prometido − tempo típico da rota)</t>
  </si>
  <si>
    <t xml:space="preserve">Folga do prazo</t>
  </si>
  <si>
    <t xml:space="preserve">Taxa de atraso</t>
  </si>
  <si>
    <t xml:space="preserve">Folga de 0 dias ou menos (prazo menor que o típico)</t>
  </si>
  <si>
    <t xml:space="preserve">Folga de 0 a 5 dias</t>
  </si>
  <si>
    <t xml:space="preserve">Folga de 5 a 10 dias</t>
  </si>
  <si>
    <t xml:space="preserve">Folga de 10 a 15 dias</t>
  </si>
  <si>
    <t xml:space="preserve">Folga acima de 15 dias</t>
  </si>
  <si>
    <t xml:space="preserve">Risco relativo: folga &lt;= 0 dias vs folga &gt; 15 dias</t>
  </si>
  <si>
    <t xml:space="preserve">2. Captura de atrasos ao sinalizar os X% de maior risco (média dos 12 meses)</t>
  </si>
  <si>
    <t xml:space="preserve">% de pedidos sinalizados</t>
  </si>
  <si>
    <t xml:space="preserve">Atrasos capturados</t>
  </si>
  <si>
    <t xml:space="preserve">Precisão (% dos sinalizados que atrasam)</t>
  </si>
  <si>
    <t xml:space="preserve">Lift vs. taxa-base</t>
  </si>
  <si>
    <t xml:space="preserve">3. Comparação de modelos (média dos 12 meses de teste; AUC 0,5 = acaso)</t>
  </si>
  <si>
    <t xml:space="preserve">Modelo</t>
  </si>
  <si>
    <t xml:space="preserve">AUC médio</t>
  </si>
  <si>
    <t xml:space="preserve">Desvio-padrão do AUC</t>
  </si>
  <si>
    <t xml:space="preserve">AUC do pior mês</t>
  </si>
  <si>
    <t xml:space="preserve">Captura no top 10%</t>
  </si>
  <si>
    <t xml:space="preserve">Lift no top 10%</t>
  </si>
  <si>
    <t xml:space="preserve">Logística: folga da rota (últimos 90 dias)</t>
  </si>
  <si>
    <t xml:space="preserve">Logística: folga da rota (histórico)</t>
  </si>
  <si>
    <t xml:space="preserve">Gradient boosting: atributos do pedido</t>
  </si>
  <si>
    <t xml:space="preserve">Baseline: taxa histórica por UF</t>
  </si>
  <si>
    <t xml:space="preserve">Gradient boosting: tudo</t>
  </si>
  <si>
    <t xml:space="preserve">Logística: só prazo prometido</t>
  </si>
  <si>
    <t xml:space="preserve">Linha destacada = modelo escolhido (regressão logística com folga da rota, janela de 90 dias).</t>
  </si>
  <si>
    <t xml:space="preserve">Notas, premissas e limitações</t>
  </si>
  <si>
    <t xml:space="preserve">Leia antes de usar os números.</t>
  </si>
  <si>
    <t xml:space="preserve">Tema</t>
  </si>
  <si>
    <t xml:space="preserve">Nota</t>
  </si>
  <si>
    <t xml:space="preserve">Fonte</t>
  </si>
  <si>
    <t xml:space="preserve">Brazilian E-Commerce Public Dataset by Olist (Kaggle, olistbr/brazilian-ecommerce). Dados reais, ~100 mil pedidos.</t>
  </si>
  <si>
    <t xml:space="preserve">Escopo</t>
  </si>
  <si>
    <t xml:space="preserve">Pedidos com status entregue e compra entre jan/2017 e ago/2018 (meses completos). Cliente = customer_unique_id. Receita = soma do preço dos itens, sem frete.</t>
  </si>
  <si>
    <t xml:space="preserve">Como esta planilha foi feita</t>
  </si>
  <si>
    <t xml:space="preserve">Os dados de base (células em AZUL) foram calculados em SQL/Python a partir da base original e colados como valores. Todo o resto (PRETO) é fórmula; vínculos entre abas aparecem em VERDE.</t>
  </si>
  <si>
    <t xml:space="preserve">Reprodução</t>
  </si>
  <si>
    <t xml:space="preserve">Scripts do projeto: carregar_banco.py, sql/01_views.sql, sql/02_consultas_negocio.sql, exportar_powerbi.py e notebooks 01 e 02. A planilha é regenerada por build_xlsx.py.</t>
  </si>
  <si>
    <t xml:space="preserve">Atraso</t>
  </si>
  <si>
    <t xml:space="preserve">Pedido entregue depois da data estimada informada ao cliente. 8 pedidos entregues sem data de entrega ficam fora das métricas de prazo.</t>
  </si>
  <si>
    <t xml:space="preserve">Média das avaliações dos pedidos. Pedidos sem avaliação ficam fora do denominador.</t>
  </si>
  <si>
    <t xml:space="preserve">RFM</t>
  </si>
  <si>
    <t xml:space="preserve">Segmentação por regras de negócio (recência, valor e recorrência), não por clusters estatísticos. Como ~97% dos clientes compraram uma única vez, quintis de frequência não funcionam.</t>
  </si>
  <si>
    <t xml:space="preserve">Modelo de risco</t>
  </si>
  <si>
    <t xml:space="preserve">Usa só informações conhecidas na compra. Resultados vêm de validação temporal em 12 janelas móveis. A versão final (janela de 90 dias para o tempo típico da rota) foi escolhida depois de ver os resultados, o que gera leve otimismo.</t>
  </si>
  <si>
    <t xml:space="preserve">Limitação 1</t>
  </si>
  <si>
    <t xml:space="preserve">Análise observacional: associação não é causalidade (atraso e nota baixa andam juntos, mas outros problemas também pesam na nota).</t>
  </si>
  <si>
    <t xml:space="preserve">Limitação 2</t>
  </si>
  <si>
    <t xml:space="preserve">Receita não é lucro: a base não tem custo nem margem.</t>
  </si>
  <si>
    <t xml:space="preserve">Limitação 3</t>
  </si>
  <si>
    <t xml:space="preserve">Janela de 20 meses de uma empresa em crescimento acelerado; tendências podem refletir a expansão e não comportamento estável.</t>
  </si>
  <si>
    <t xml:space="preserve">Limitação 4</t>
  </si>
  <si>
    <t xml:space="preserve">O modelo tem desempenho moderado e probabilidades não calibradas: use-o para ordenar risco (triagem), não como probabilidade absoluta.</t>
  </si>
  <si>
    <t xml:space="preserve">Prioridades</t>
  </si>
  <si>
    <t xml:space="preserve">A coluna Prioridade da aba Recomendacoes é um julgamento do analista, não resultado de cálculo.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</si>
</sst>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R$ &quot;#,##0;&quot;(R$ &quot;#,##0\);\-"/>
    <numFmt numFmtId="166" formatCode="#,##0;\(#,##0\);\-"/>
    <numFmt numFmtId="167" formatCode="&quot;R$ &quot;#,##0.00"/>
    <numFmt numFmtId="168" formatCode="0.0%;\(0.0%\);\-"/>
    <numFmt numFmtId="169" formatCode="0.00"/>
    <numFmt numFmtId="170" formatCode="#,##0"/>
    <numFmt numFmtId="171" formatCode="0.0"/>
    <numFmt numFmtId="172" formatCode="0%"/>
    <numFmt numFmtId="173" formatCode="0.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93B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DC2626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3366"/>
      </patternFill>
    </fill>
    <fill>
      <patternFill patternType="solid">
        <fgColor rgb="FFE2E8F0"/>
        <bgColor rgb="FFEFF6FF"/>
      </patternFill>
    </fill>
    <fill>
      <patternFill patternType="solid">
        <fgColor rgb="FFEFF6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FF6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B45309"/>
      <rgbColor rgb="FF993366"/>
      <rgbColor rgb="FF2563EB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Ano-Mês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KPIs_Mensais!E4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KPIs_Mensais!$A$5:$A$24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KPIs_Mensais!$E$5:$E$24</c:f>
              <c:numCache>
                <c:formatCode>"R$ "#,##0;"(R$ "#,##0\);\-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554699.7</c:v>
                </c:pt>
                <c:pt idx="8">
                  <c:v>607399.67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856077.86</c:v>
                </c:pt>
                <c:pt idx="18">
                  <c:v>867953.46</c:v>
                </c:pt>
                <c:pt idx="19">
                  <c:v>838576.64</c:v>
                </c:pt>
              </c:numCache>
            </c:numRef>
          </c:val>
        </c:ser>
        <c:gapWidth val="150"/>
        <c:overlap val="0"/>
        <c:axId val="97735091"/>
        <c:axId val="33988788"/>
      </c:barChart>
      <c:catAx>
        <c:axId val="97735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88788"/>
        <c:crosses val="autoZero"/>
        <c:auto val="1"/>
        <c:lblAlgn val="ctr"/>
        <c:lblOffset val="100"/>
        <c:noMultiLvlLbl val="0"/>
      </c:catAx>
      <c:valAx>
        <c:axId val="33988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350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Satisfação por condição de entrega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Atraso_vs_Nota!E4</c:f>
              <c:strCache>
                <c:ptCount val="1"/>
                <c:pt idx="0">
                  <c:v>Nota Média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Atraso_vs_Nota!$A$5:$A$8</c:f>
              <c:strCache>
                <c:ptCount val="4"/>
                <c:pt idx="0">
                  <c:v>1. No prazo</c:v>
                </c:pt>
                <c:pt idx="1">
                  <c:v>2. Atraso 1-3 dias</c:v>
                </c:pt>
                <c:pt idx="2">
                  <c:v>3. Atraso 4-7 dias</c:v>
                </c:pt>
                <c:pt idx="3">
                  <c:v>4. Atraso &gt; 7 dias</c:v>
                </c:pt>
              </c:strCache>
            </c:strRef>
          </c:cat>
          <c:val>
            <c:numRef>
              <c:f>Atraso_vs_Nota!$E$5:$E$8</c:f>
              <c:numCache>
                <c:formatCode>0.00</c:formatCode>
                <c:ptCount val="4"/>
                <c:pt idx="0">
                  <c:v>4.29493082318702</c:v>
                </c:pt>
                <c:pt idx="1">
                  <c:v>3.74633204633205</c:v>
                </c:pt>
                <c:pt idx="2">
                  <c:v>2.30218242865137</c:v>
                </c:pt>
                <c:pt idx="3">
                  <c:v>1.72795031055901</c:v>
                </c:pt>
              </c:numCache>
            </c:numRef>
          </c:val>
        </c:ser>
        <c:gapWidth val="150"/>
        <c:overlap val="0"/>
        <c:axId val="46505398"/>
        <c:axId val="25727175"/>
      </c:barChart>
      <c:catAx>
        <c:axId val="465053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27175"/>
        <c:crosses val="autoZero"/>
        <c:auto val="1"/>
        <c:lblAlgn val="ctr"/>
        <c:lblOffset val="100"/>
        <c:noMultiLvlLbl val="0"/>
      </c:catAx>
      <c:valAx>
        <c:axId val="25727175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05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 e MA concentram os maiores atrasos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Logistica_UF!D4</c:f>
              <c:strCache>
                <c:ptCount val="1"/>
                <c:pt idx="0">
                  <c:v>% Atraso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Logistica_UF!$A$5:$A$31</c:f>
              <c:strCache>
                <c:ptCount val="27"/>
                <c:pt idx="0">
                  <c:v>AL</c:v>
                </c:pt>
                <c:pt idx="1">
                  <c:v>MA</c:v>
                </c:pt>
                <c:pt idx="2">
                  <c:v>PI</c:v>
                </c:pt>
                <c:pt idx="3">
                  <c:v>CE</c:v>
                </c:pt>
                <c:pt idx="4">
                  <c:v>SE</c:v>
                </c:pt>
                <c:pt idx="5">
                  <c:v>BA</c:v>
                </c:pt>
                <c:pt idx="6">
                  <c:v>RJ</c:v>
                </c:pt>
                <c:pt idx="7">
                  <c:v>TO</c:v>
                </c:pt>
                <c:pt idx="8">
                  <c:v>RR</c:v>
                </c:pt>
                <c:pt idx="9">
                  <c:v>PA</c:v>
                </c:pt>
                <c:pt idx="10">
                  <c:v>ES</c:v>
                </c:pt>
                <c:pt idx="11">
                  <c:v>MS</c:v>
                </c:pt>
                <c:pt idx="12">
                  <c:v>PB</c:v>
                </c:pt>
                <c:pt idx="13">
                  <c:v>RN</c:v>
                </c:pt>
                <c:pt idx="14">
                  <c:v>PE</c:v>
                </c:pt>
                <c:pt idx="15">
                  <c:v>SC</c:v>
                </c:pt>
                <c:pt idx="16">
                  <c:v>GO</c:v>
                </c:pt>
                <c:pt idx="17">
                  <c:v>RS</c:v>
                </c:pt>
                <c:pt idx="18">
                  <c:v>DF</c:v>
                </c:pt>
                <c:pt idx="19">
                  <c:v>MT</c:v>
                </c:pt>
                <c:pt idx="20">
                  <c:v>SP</c:v>
                </c:pt>
                <c:pt idx="21">
                  <c:v>MG</c:v>
                </c:pt>
                <c:pt idx="22">
                  <c:v>PR</c:v>
                </c:pt>
                <c:pt idx="23">
                  <c:v>AP</c:v>
                </c:pt>
                <c:pt idx="24">
                  <c:v>AM</c:v>
                </c:pt>
                <c:pt idx="25">
                  <c:v>AC</c:v>
                </c:pt>
                <c:pt idx="26">
                  <c:v>RO</c:v>
                </c:pt>
              </c:strCache>
            </c:strRef>
          </c:cat>
          <c:val>
            <c:numRef>
              <c:f>Logistica_UF!$D$5:$D$31</c:f>
              <c:numCache>
                <c:formatCode>0.0%;\(0.0%\);\-</c:formatCode>
                <c:ptCount val="27"/>
                <c:pt idx="0">
                  <c:v>0.23989898989899</c:v>
                </c:pt>
                <c:pt idx="1">
                  <c:v>0.196353436185133</c:v>
                </c:pt>
                <c:pt idx="2">
                  <c:v>0.16</c:v>
                </c:pt>
                <c:pt idx="3">
                  <c:v>0.153967007069914</c:v>
                </c:pt>
                <c:pt idx="4">
                  <c:v>0.153614457831325</c:v>
                </c:pt>
                <c:pt idx="5">
                  <c:v>0.140485705502613</c:v>
                </c:pt>
                <c:pt idx="6">
                  <c:v>0.135174654752234</c:v>
                </c:pt>
                <c:pt idx="7">
                  <c:v>0.127737226277372</c:v>
                </c:pt>
                <c:pt idx="8">
                  <c:v>0.125</c:v>
                </c:pt>
                <c:pt idx="9">
                  <c:v>0.124203821656051</c:v>
                </c:pt>
                <c:pt idx="10">
                  <c:v>0.122489959839357</c:v>
                </c:pt>
                <c:pt idx="11">
                  <c:v>0.115549215406562</c:v>
                </c:pt>
                <c:pt idx="12">
                  <c:v>0.11046511627907</c:v>
                </c:pt>
                <c:pt idx="13">
                  <c:v>0.108510638297872</c:v>
                </c:pt>
                <c:pt idx="14">
                  <c:v>0.108380592312539</c:v>
                </c:pt>
                <c:pt idx="15">
                  <c:v>0.0978230138535482</c:v>
                </c:pt>
                <c:pt idx="16">
                  <c:v>0.0820512820512821</c:v>
                </c:pt>
                <c:pt idx="17">
                  <c:v>0.0717101558100244</c:v>
                </c:pt>
                <c:pt idx="18">
                  <c:v>0.070877531340405</c:v>
                </c:pt>
                <c:pt idx="19">
                  <c:v>0.0677966101694915</c:v>
                </c:pt>
                <c:pt idx="20">
                  <c:v>0.059011361667368</c:v>
                </c:pt>
                <c:pt idx="21">
                  <c:v>0.0562770562770563</c:v>
                </c:pt>
                <c:pt idx="22">
                  <c:v>0.0501733632469916</c:v>
                </c:pt>
                <c:pt idx="23">
                  <c:v>0.0447761194029851</c:v>
                </c:pt>
                <c:pt idx="24">
                  <c:v>0.0413793103448276</c:v>
                </c:pt>
                <c:pt idx="25">
                  <c:v>0.0375</c:v>
                </c:pt>
                <c:pt idx="26">
                  <c:v>0.0288065843621399</c:v>
                </c:pt>
              </c:numCache>
            </c:numRef>
          </c:val>
        </c:ser>
        <c:gapWidth val="150"/>
        <c:overlap val="0"/>
        <c:axId val="76270447"/>
        <c:axId val="75717726"/>
      </c:barChart>
      <c:catAx>
        <c:axId val="7627044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17726"/>
        <c:crosses val="autoZero"/>
        <c:auto val="1"/>
        <c:lblAlgn val="ctr"/>
        <c:lblOffset val="100"/>
        <c:noMultiLvlLbl val="0"/>
      </c:catAx>
      <c:valAx>
        <c:axId val="75717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70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Satisfação por condição de entrega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Atraso_vs_Nota!E4</c:f>
              <c:strCache>
                <c:ptCount val="1"/>
                <c:pt idx="0">
                  <c:v>Nota Média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Atraso_vs_Nota!$A$5:$A$8</c:f>
              <c:strCache>
                <c:ptCount val="4"/>
                <c:pt idx="0">
                  <c:v>1. No prazo</c:v>
                </c:pt>
                <c:pt idx="1">
                  <c:v>2. Atraso 1-3 dias</c:v>
                </c:pt>
                <c:pt idx="2">
                  <c:v>3. Atraso 4-7 dias</c:v>
                </c:pt>
                <c:pt idx="3">
                  <c:v>4. Atraso &gt; 7 dias</c:v>
                </c:pt>
              </c:strCache>
            </c:strRef>
          </c:cat>
          <c:val>
            <c:numRef>
              <c:f>Atraso_vs_Nota!$E$5:$E$8</c:f>
              <c:numCache>
                <c:formatCode>0.00</c:formatCode>
                <c:ptCount val="4"/>
                <c:pt idx="0">
                  <c:v>4.29493082318702</c:v>
                </c:pt>
                <c:pt idx="1">
                  <c:v>3.74633204633205</c:v>
                </c:pt>
                <c:pt idx="2">
                  <c:v>2.30218242865137</c:v>
                </c:pt>
                <c:pt idx="3">
                  <c:v>1.72795031055901</c:v>
                </c:pt>
              </c:numCache>
            </c:numRef>
          </c:val>
        </c:ser>
        <c:gapWidth val="150"/>
        <c:overlap val="0"/>
        <c:axId val="68352280"/>
        <c:axId val="51129573"/>
      </c:barChart>
      <c:catAx>
        <c:axId val="6835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29573"/>
        <c:crosses val="autoZero"/>
        <c:auto val="1"/>
        <c:lblAlgn val="ctr"/>
        <c:lblOffset val="100"/>
        <c:noMultiLvlLbl val="0"/>
      </c:catAx>
      <c:valAx>
        <c:axId val="51129573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522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18360</xdr:rowOff>
    </xdr:from>
    <xdr:to>
      <xdr:col>1</xdr:col>
      <xdr:colOff>1077480</xdr:colOff>
      <xdr:row>41</xdr:row>
      <xdr:rowOff>51120</xdr:rowOff>
    </xdr:to>
    <xdr:graphicFrame>
      <xdr:nvGraphicFramePr>
        <xdr:cNvPr id="0" name="Chart 1"/>
        <xdr:cNvGraphicFramePr/>
      </xdr:nvGraphicFramePr>
      <xdr:xfrm>
        <a:off x="0" y="57531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27</xdr:row>
      <xdr:rowOff>18360</xdr:rowOff>
    </xdr:from>
    <xdr:to>
      <xdr:col>2</xdr:col>
      <xdr:colOff>4679640</xdr:colOff>
      <xdr:row>41</xdr:row>
      <xdr:rowOff>51120</xdr:rowOff>
    </xdr:to>
    <xdr:graphicFrame>
      <xdr:nvGraphicFramePr>
        <xdr:cNvPr id="1" name="Chart 2"/>
        <xdr:cNvGraphicFramePr/>
      </xdr:nvGraphicFramePr>
      <xdr:xfrm>
        <a:off x="4511160" y="57531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32</xdr:row>
      <xdr:rowOff>131040</xdr:rowOff>
    </xdr:from>
    <xdr:to>
      <xdr:col>14</xdr:col>
      <xdr:colOff>528480</xdr:colOff>
      <xdr:row>56</xdr:row>
      <xdr:rowOff>29160</xdr:rowOff>
    </xdr:to>
    <xdr:graphicFrame>
      <xdr:nvGraphicFramePr>
        <xdr:cNvPr id="2" name="Chart 1"/>
        <xdr:cNvGraphicFramePr/>
      </xdr:nvGraphicFramePr>
      <xdr:xfrm>
        <a:off x="6696000" y="6496200"/>
        <a:ext cx="50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130680</xdr:rowOff>
    </xdr:from>
    <xdr:to>
      <xdr:col>3</xdr:col>
      <xdr:colOff>1022040</xdr:colOff>
      <xdr:row>30</xdr:row>
      <xdr:rowOff>163440</xdr:rowOff>
    </xdr:to>
    <xdr:graphicFrame>
      <xdr:nvGraphicFramePr>
        <xdr:cNvPr id="3" name="Chart 1"/>
        <xdr:cNvGraphicFramePr/>
      </xdr:nvGraphicFramePr>
      <xdr:xfrm>
        <a:off x="0" y="34480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true"/>
  </sheetPr>
  <dimension ref="A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f aca="false">KPIs_Mensais!E25</f>
        <v>13181027.13</v>
      </c>
      <c r="C6" s="7" t="s">
        <v>7</v>
      </c>
    </row>
    <row r="7" customFormat="false" ht="15" hidden="false" customHeight="false" outlineLevel="0" collapsed="false">
      <c r="A7" s="5" t="s">
        <v>8</v>
      </c>
      <c r="B7" s="8" t="n">
        <f aca="false">KPIs_Mensais!D25</f>
        <v>96211</v>
      </c>
      <c r="C7" s="7" t="s">
        <v>9</v>
      </c>
    </row>
    <row r="8" customFormat="false" ht="15" hidden="false" customHeight="false" outlineLevel="0" collapsed="false">
      <c r="A8" s="5" t="s">
        <v>10</v>
      </c>
      <c r="B8" s="9" t="n">
        <f aca="false">KPIs_Mensais!F25</f>
        <v>137.001248609826</v>
      </c>
      <c r="C8" s="7" t="s">
        <v>11</v>
      </c>
    </row>
    <row r="9" customFormat="false" ht="15" hidden="false" customHeight="false" outlineLevel="0" collapsed="false">
      <c r="A9" s="5" t="s">
        <v>12</v>
      </c>
      <c r="B9" s="10" t="n">
        <f aca="false">SUMIFS(KPIs_Mensais!E5:E24,KPIs_Mensais!B5:B24,2018,KPIs_Mensais!C5:C24,"&lt;=8")/SUMIFS(KPIs_Mensais!E5:E24,KPIs_Mensais!B5:B24,2017,KPIs_Mensais!C5:C24,"&lt;=8")-1</f>
        <v>1.41130145441617</v>
      </c>
      <c r="C9" s="7" t="s">
        <v>13</v>
      </c>
    </row>
    <row r="10" customFormat="false" ht="15" hidden="false" customHeight="false" outlineLevel="0" collapsed="false">
      <c r="A10" s="5" t="s">
        <v>14</v>
      </c>
      <c r="B10" s="10" t="n">
        <f aca="false">KPIs_Mensais!I25</f>
        <v>0.0813072357410892</v>
      </c>
      <c r="C10" s="7" t="s">
        <v>15</v>
      </c>
    </row>
    <row r="11" customFormat="false" ht="15" hidden="false" customHeight="false" outlineLevel="0" collapsed="false">
      <c r="A11" s="5" t="s">
        <v>16</v>
      </c>
      <c r="B11" s="11" t="n">
        <f aca="false">KPIs_Mensais!L25</f>
        <v>4.15632847815168</v>
      </c>
      <c r="C11" s="7" t="s">
        <v>17</v>
      </c>
    </row>
    <row r="12" customFormat="false" ht="15" hidden="false" customHeight="false" outlineLevel="0" collapsed="false">
      <c r="A12" s="5" t="s">
        <v>18</v>
      </c>
      <c r="B12" s="10" t="n">
        <f aca="false">Clientes_RFM!B15</f>
        <v>0.0299557484103798</v>
      </c>
      <c r="C12" s="7" t="s">
        <v>19</v>
      </c>
    </row>
    <row r="13" customFormat="false" ht="15" hidden="false" customHeight="false" outlineLevel="0" collapsed="false">
      <c r="A13" s="5" t="s">
        <v>20</v>
      </c>
      <c r="B13" s="10" t="n">
        <f aca="false">Vendedores!B13</f>
        <v>0.821989477234313</v>
      </c>
      <c r="C13" s="7" t="s">
        <v>21</v>
      </c>
    </row>
    <row r="15" customFormat="false" ht="15" hidden="false" customHeight="false" outlineLevel="0" collapsed="false">
      <c r="A15" s="3" t="s">
        <v>22</v>
      </c>
    </row>
    <row r="16" customFormat="false" ht="31.5" hidden="false" customHeight="true" outlineLevel="0" collapsed="false">
      <c r="A16" s="4" t="s">
        <v>23</v>
      </c>
      <c r="B16" s="4" t="s">
        <v>4</v>
      </c>
      <c r="C16" s="4" t="s">
        <v>3</v>
      </c>
    </row>
    <row r="17" customFormat="false" ht="15" hidden="false" customHeight="false" outlineLevel="0" collapsed="false">
      <c r="A17" s="12" t="s">
        <v>24</v>
      </c>
      <c r="B17" s="13" t="n">
        <f aca="false">Atraso_vs_Nota!E5</f>
        <v>4.29493082318702</v>
      </c>
      <c r="C17" s="7" t="s">
        <v>25</v>
      </c>
    </row>
    <row r="18" customFormat="false" ht="15" hidden="false" customHeight="false" outlineLevel="0" collapsed="false">
      <c r="A18" s="12"/>
      <c r="B18" s="13" t="n">
        <f aca="false">Atraso_vs_Nota!E8</f>
        <v>1.72795031055901</v>
      </c>
      <c r="C18" s="7" t="s">
        <v>26</v>
      </c>
    </row>
    <row r="19" customFormat="false" ht="23.85" hidden="false" customHeight="false" outlineLevel="0" collapsed="false">
      <c r="A19" s="12" t="s">
        <v>27</v>
      </c>
      <c r="B19" s="14" t="n">
        <f aca="false">Atraso_vs_Nota!B13</f>
        <v>0.079499790707409</v>
      </c>
      <c r="C19" s="7" t="s">
        <v>28</v>
      </c>
    </row>
    <row r="20" customFormat="false" ht="15" hidden="false" customHeight="false" outlineLevel="0" collapsed="false">
      <c r="A20" s="12"/>
      <c r="B20" s="14" t="n">
        <f aca="false">Atraso_vs_Nota!B14</f>
        <v>0.338321884200196</v>
      </c>
      <c r="C20" s="7" t="s">
        <v>29</v>
      </c>
    </row>
    <row r="21" customFormat="false" ht="15" hidden="false" customHeight="false" outlineLevel="0" collapsed="false">
      <c r="A21" s="12" t="s">
        <v>30</v>
      </c>
      <c r="B21" s="14" t="n">
        <f aca="false">Logistica_UF!D37</f>
        <v>0.143649473100388</v>
      </c>
      <c r="C21" s="7" t="s">
        <v>31</v>
      </c>
    </row>
    <row r="22" customFormat="false" ht="15" hidden="false" customHeight="false" outlineLevel="0" collapsed="false">
      <c r="A22" s="12"/>
      <c r="B22" s="14" t="n">
        <f aca="false">Logistica_UF!D39</f>
        <v>0.0746591941835807</v>
      </c>
      <c r="C22" s="7" t="s">
        <v>32</v>
      </c>
    </row>
    <row r="23" customFormat="false" ht="15" hidden="false" customHeight="false" outlineLevel="0" collapsed="false">
      <c r="A23" s="12" t="s">
        <v>33</v>
      </c>
      <c r="B23" s="14" t="n">
        <f aca="false">Modelo_Risco!D5</f>
        <v>0.303857566765579</v>
      </c>
      <c r="C23" s="7" t="s">
        <v>34</v>
      </c>
    </row>
    <row r="24" customFormat="false" ht="15" hidden="false" customHeight="false" outlineLevel="0" collapsed="false">
      <c r="A24" s="12"/>
      <c r="B24" s="14" t="n">
        <f aca="false">Modelo_Risco!D9</f>
        <v>0.0438645980253879</v>
      </c>
      <c r="C24" s="7" t="s">
        <v>35</v>
      </c>
    </row>
    <row r="25" customFormat="false" ht="15" hidden="false" customHeight="false" outlineLevel="0" collapsed="false">
      <c r="A25" s="12" t="s">
        <v>36</v>
      </c>
      <c r="B25" s="14" t="n">
        <f aca="false">Modelo_Risco!B16</f>
        <v>0.2684</v>
      </c>
      <c r="C25" s="7" t="s">
        <v>37</v>
      </c>
    </row>
    <row r="26" customFormat="false" ht="15" hidden="false" customHeight="false" outlineLevel="0" collapsed="false">
      <c r="A26" s="12" t="s">
        <v>38</v>
      </c>
      <c r="B26" s="14" t="n">
        <f aca="false">INDEX(KPIs_Mensais!M5:M24,MATCH("2017-11",KPIs_Mensais!A5:A24,0))</f>
        <v>0.523746935295485</v>
      </c>
      <c r="C26" s="7" t="s">
        <v>39</v>
      </c>
    </row>
    <row r="28" customFormat="false" ht="15" hidden="false" customHeight="false" outlineLevel="0" collapsed="false">
      <c r="A28" s="3" t="s">
        <v>40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7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6" min="5" style="0" width="40"/>
    <col collapsed="false" customWidth="true" hidden="false" outlineLevel="0" max="8" min="7" style="0" width="13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31.5" hidden="false" customHeight="tru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</row>
    <row r="5" customFormat="false" ht="66" hidden="false" customHeight="true" outlineLevel="0" collapsed="false">
      <c r="A5" s="15" t="n">
        <v>1</v>
      </c>
      <c r="B5" s="16" t="s">
        <v>51</v>
      </c>
      <c r="C5" s="17" t="s">
        <v>52</v>
      </c>
      <c r="D5" s="17" t="s">
        <v>53</v>
      </c>
      <c r="E5" s="17" t="s">
        <v>54</v>
      </c>
      <c r="F5" s="17" t="s">
        <v>55</v>
      </c>
      <c r="G5" s="18" t="n">
        <f aca="false">Atraso_vs_Nota!E8</f>
        <v>1.72795031055901</v>
      </c>
      <c r="H5" s="18" t="n">
        <f aca="false">Atraso_vs_Nota!E5</f>
        <v>4.29493082318702</v>
      </c>
    </row>
    <row r="6" customFormat="false" ht="66" hidden="false" customHeight="true" outlineLevel="0" collapsed="false">
      <c r="A6" s="15" t="n">
        <v>2</v>
      </c>
      <c r="B6" s="16" t="s">
        <v>51</v>
      </c>
      <c r="C6" s="17" t="s">
        <v>56</v>
      </c>
      <c r="D6" s="17" t="s">
        <v>57</v>
      </c>
      <c r="E6" s="17" t="s">
        <v>58</v>
      </c>
      <c r="F6" s="17" t="s">
        <v>59</v>
      </c>
      <c r="G6" s="19" t="n">
        <f aca="false">Logistica_UF!D37</f>
        <v>0.143649473100388</v>
      </c>
      <c r="H6" s="19" t="n">
        <f aca="false">Logistica_UF!D39</f>
        <v>0.0746591941835807</v>
      </c>
    </row>
    <row r="7" customFormat="false" ht="66" hidden="false" customHeight="true" outlineLevel="0" collapsed="false">
      <c r="A7" s="15" t="n">
        <v>3</v>
      </c>
      <c r="B7" s="16" t="s">
        <v>51</v>
      </c>
      <c r="C7" s="17" t="s">
        <v>60</v>
      </c>
      <c r="D7" s="17" t="s">
        <v>61</v>
      </c>
      <c r="E7" s="17" t="s">
        <v>62</v>
      </c>
      <c r="F7" s="17" t="s">
        <v>63</v>
      </c>
      <c r="G7" s="19" t="n">
        <f aca="false">Modelo_Risco!D5</f>
        <v>0.303857566765579</v>
      </c>
      <c r="H7" s="19" t="n">
        <f aca="false">Modelo_Risco!D9</f>
        <v>0.0438645980253879</v>
      </c>
    </row>
    <row r="8" customFormat="false" ht="66" hidden="false" customHeight="true" outlineLevel="0" collapsed="false">
      <c r="A8" s="15" t="n">
        <v>4</v>
      </c>
      <c r="B8" s="16" t="s">
        <v>51</v>
      </c>
      <c r="C8" s="17" t="s">
        <v>64</v>
      </c>
      <c r="D8" s="17" t="s">
        <v>65</v>
      </c>
      <c r="E8" s="17" t="s">
        <v>66</v>
      </c>
      <c r="F8" s="17" t="s">
        <v>67</v>
      </c>
      <c r="G8" s="19" t="n">
        <f aca="false">Modelo_Risco!B16</f>
        <v>0.2684</v>
      </c>
      <c r="H8" s="19" t="n">
        <f aca="false">Modelo_Risco!A16</f>
        <v>0.1</v>
      </c>
    </row>
    <row r="9" customFormat="false" ht="66" hidden="false" customHeight="true" outlineLevel="0" collapsed="false">
      <c r="A9" s="15" t="n">
        <v>5</v>
      </c>
      <c r="B9" s="20" t="s">
        <v>68</v>
      </c>
      <c r="C9" s="17" t="s">
        <v>69</v>
      </c>
      <c r="D9" s="17" t="s">
        <v>70</v>
      </c>
      <c r="E9" s="17" t="s">
        <v>71</v>
      </c>
      <c r="F9" s="17" t="s">
        <v>72</v>
      </c>
      <c r="G9" s="19" t="n">
        <f aca="false">Clientes_RFM!B16</f>
        <v>0.28828988534219</v>
      </c>
      <c r="H9" s="19" t="n">
        <f aca="false">Clientes_RFM!B15</f>
        <v>0.0299557484103798</v>
      </c>
    </row>
    <row r="10" customFormat="false" ht="66" hidden="false" customHeight="true" outlineLevel="0" collapsed="false">
      <c r="A10" s="15" t="n">
        <v>6</v>
      </c>
      <c r="B10" s="20" t="s">
        <v>68</v>
      </c>
      <c r="C10" s="17" t="s">
        <v>73</v>
      </c>
      <c r="D10" s="17" t="s">
        <v>74</v>
      </c>
      <c r="E10" s="17" t="s">
        <v>75</v>
      </c>
      <c r="F10" s="17" t="s">
        <v>76</v>
      </c>
      <c r="G10" s="19" t="n">
        <f aca="false">Vendedores!B13</f>
        <v>0.821989477234313</v>
      </c>
      <c r="H10" s="19" t="n">
        <f aca="false">Vendedores!D5</f>
        <v>0.2</v>
      </c>
    </row>
    <row r="11" customFormat="false" ht="66" hidden="false" customHeight="true" outlineLevel="0" collapsed="false">
      <c r="A11" s="15" t="n">
        <v>7</v>
      </c>
      <c r="B11" s="20" t="s">
        <v>68</v>
      </c>
      <c r="C11" s="17" t="s">
        <v>77</v>
      </c>
      <c r="D11" s="17" t="s">
        <v>78</v>
      </c>
      <c r="E11" s="17" t="s">
        <v>79</v>
      </c>
      <c r="F11" s="17" t="s">
        <v>80</v>
      </c>
      <c r="G11" s="19" t="n">
        <f aca="false">INDEX(KPIs_Mensais!M5:M24,MATCH("2017-11",KPIs_Mensais!A5:A24,0))</f>
        <v>0.523746935295485</v>
      </c>
      <c r="H11" s="19" t="n">
        <f aca="false">AVERAGE(KPIs_Mensais!M6:M24)</f>
        <v>0.146942237521817</v>
      </c>
    </row>
    <row r="12" customFormat="false" ht="66" hidden="false" customHeight="true" outlineLevel="0" collapsed="false">
      <c r="A12" s="15" t="n">
        <v>8</v>
      </c>
      <c r="B12" s="20" t="s">
        <v>68</v>
      </c>
      <c r="C12" s="17" t="s">
        <v>81</v>
      </c>
      <c r="D12" s="17" t="s">
        <v>82</v>
      </c>
      <c r="E12" s="17" t="s">
        <v>83</v>
      </c>
      <c r="F12" s="17" t="s">
        <v>84</v>
      </c>
      <c r="G12" s="18" t="n">
        <f aca="false">Modelo_Risco!B22</f>
        <v>0.694</v>
      </c>
      <c r="H12" s="18" t="n">
        <f aca="false">Modelo_Risco!D22</f>
        <v>0.617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7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31.5" hidden="false" customHeight="true" outlineLevel="0" collapsed="false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97</v>
      </c>
      <c r="L4" s="4" t="s">
        <v>98</v>
      </c>
      <c r="M4" s="4" t="s">
        <v>99</v>
      </c>
    </row>
    <row r="5" customFormat="false" ht="15" hidden="false" customHeight="false" outlineLevel="0" collapsed="false">
      <c r="A5" s="21" t="s">
        <v>100</v>
      </c>
      <c r="B5" s="21" t="n">
        <v>2017</v>
      </c>
      <c r="C5" s="21" t="n">
        <v>1</v>
      </c>
      <c r="D5" s="22" t="n">
        <v>750</v>
      </c>
      <c r="E5" s="23" t="n">
        <v>111798.36</v>
      </c>
      <c r="F5" s="24" t="n">
        <f aca="false">E5/D5</f>
        <v>149.06448</v>
      </c>
      <c r="G5" s="22" t="n">
        <v>750</v>
      </c>
      <c r="H5" s="22" t="n">
        <v>23</v>
      </c>
      <c r="I5" s="25" t="n">
        <f aca="false">H5/G5</f>
        <v>0.0306666666666667</v>
      </c>
      <c r="J5" s="22" t="n">
        <v>741</v>
      </c>
      <c r="K5" s="22" t="n">
        <v>3111</v>
      </c>
      <c r="L5" s="26" t="n">
        <f aca="false">K5/J5</f>
        <v>4.19838056680162</v>
      </c>
    </row>
    <row r="6" customFormat="false" ht="15" hidden="false" customHeight="false" outlineLevel="0" collapsed="false">
      <c r="A6" s="21" t="s">
        <v>101</v>
      </c>
      <c r="B6" s="21" t="n">
        <v>2017</v>
      </c>
      <c r="C6" s="21" t="n">
        <v>2</v>
      </c>
      <c r="D6" s="22" t="n">
        <v>1653</v>
      </c>
      <c r="E6" s="23" t="n">
        <v>234223.4</v>
      </c>
      <c r="F6" s="24" t="n">
        <f aca="false">E6/D6</f>
        <v>141.69594676346</v>
      </c>
      <c r="G6" s="22" t="n">
        <v>1653</v>
      </c>
      <c r="H6" s="22" t="n">
        <v>53</v>
      </c>
      <c r="I6" s="25" t="n">
        <f aca="false">H6/G6</f>
        <v>0.0320629159104658</v>
      </c>
      <c r="J6" s="22" t="n">
        <v>1643</v>
      </c>
      <c r="K6" s="22" t="n">
        <v>6906</v>
      </c>
      <c r="L6" s="26" t="n">
        <f aca="false">K6/J6</f>
        <v>4.20328667072428</v>
      </c>
      <c r="M6" s="25" t="n">
        <f aca="false">E6/E5-1</f>
        <v>1.09505219933459</v>
      </c>
    </row>
    <row r="7" customFormat="false" ht="15" hidden="false" customHeight="false" outlineLevel="0" collapsed="false">
      <c r="A7" s="21" t="s">
        <v>102</v>
      </c>
      <c r="B7" s="21" t="n">
        <v>2017</v>
      </c>
      <c r="C7" s="21" t="n">
        <v>3</v>
      </c>
      <c r="D7" s="22" t="n">
        <v>2546</v>
      </c>
      <c r="E7" s="23" t="n">
        <v>359198.85</v>
      </c>
      <c r="F7" s="24" t="n">
        <f aca="false">E7/D7</f>
        <v>141.083601728201</v>
      </c>
      <c r="G7" s="22" t="n">
        <v>2546</v>
      </c>
      <c r="H7" s="22" t="n">
        <v>142</v>
      </c>
      <c r="I7" s="25" t="n">
        <f aca="false">H7/G7</f>
        <v>0.0557737627651218</v>
      </c>
      <c r="J7" s="22" t="n">
        <v>2527</v>
      </c>
      <c r="K7" s="22" t="n">
        <v>10580</v>
      </c>
      <c r="L7" s="26" t="n">
        <f aca="false">K7/J7</f>
        <v>4.18678274633953</v>
      </c>
      <c r="M7" s="25" t="n">
        <f aca="false">E7/E6-1</f>
        <v>0.533573716375051</v>
      </c>
    </row>
    <row r="8" customFormat="false" ht="15" hidden="false" customHeight="false" outlineLevel="0" collapsed="false">
      <c r="A8" s="21" t="s">
        <v>103</v>
      </c>
      <c r="B8" s="21" t="n">
        <v>2017</v>
      </c>
      <c r="C8" s="21" t="n">
        <v>4</v>
      </c>
      <c r="D8" s="22" t="n">
        <v>2303</v>
      </c>
      <c r="E8" s="23" t="n">
        <v>340669.68</v>
      </c>
      <c r="F8" s="24" t="n">
        <f aca="false">E8/D8</f>
        <v>147.924307425098</v>
      </c>
      <c r="G8" s="22" t="n">
        <v>2303</v>
      </c>
      <c r="H8" s="22" t="n">
        <v>181</v>
      </c>
      <c r="I8" s="25" t="n">
        <f aca="false">H8/G8</f>
        <v>0.0785931393834129</v>
      </c>
      <c r="J8" s="22" t="n">
        <v>2290</v>
      </c>
      <c r="K8" s="22" t="n">
        <v>9470</v>
      </c>
      <c r="L8" s="26" t="n">
        <f aca="false">K8/J8</f>
        <v>4.1353711790393</v>
      </c>
      <c r="M8" s="25" t="n">
        <f aca="false">E8/E7-1</f>
        <v>-0.0515847141492797</v>
      </c>
    </row>
    <row r="9" customFormat="false" ht="15" hidden="false" customHeight="false" outlineLevel="0" collapsed="false">
      <c r="A9" s="21" t="s">
        <v>104</v>
      </c>
      <c r="B9" s="21" t="n">
        <v>2017</v>
      </c>
      <c r="C9" s="21" t="n">
        <v>5</v>
      </c>
      <c r="D9" s="22" t="n">
        <v>3546</v>
      </c>
      <c r="E9" s="23" t="n">
        <v>489338.25</v>
      </c>
      <c r="F9" s="24" t="n">
        <f aca="false">E9/D9</f>
        <v>137.997250423012</v>
      </c>
      <c r="G9" s="22" t="n">
        <v>3545</v>
      </c>
      <c r="H9" s="22" t="n">
        <v>128</v>
      </c>
      <c r="I9" s="25" t="n">
        <f aca="false">H9/G9</f>
        <v>0.0361071932299013</v>
      </c>
      <c r="J9" s="22" t="n">
        <v>3518</v>
      </c>
      <c r="K9" s="22" t="n">
        <v>14904</v>
      </c>
      <c r="L9" s="26" t="n">
        <f aca="false">K9/J9</f>
        <v>4.23649801023309</v>
      </c>
      <c r="M9" s="25" t="n">
        <f aca="false">E9/E8-1</f>
        <v>0.43640094416386</v>
      </c>
    </row>
    <row r="10" customFormat="false" ht="15" hidden="false" customHeight="false" outlineLevel="0" collapsed="false">
      <c r="A10" s="21" t="s">
        <v>105</v>
      </c>
      <c r="B10" s="21" t="n">
        <v>2017</v>
      </c>
      <c r="C10" s="21" t="n">
        <v>6</v>
      </c>
      <c r="D10" s="22" t="n">
        <v>3135</v>
      </c>
      <c r="E10" s="23" t="n">
        <v>421923.37</v>
      </c>
      <c r="F10" s="24" t="n">
        <f aca="false">E10/D10</f>
        <v>134.584807017544</v>
      </c>
      <c r="G10" s="22" t="n">
        <v>3135</v>
      </c>
      <c r="H10" s="22" t="n">
        <v>121</v>
      </c>
      <c r="I10" s="25" t="n">
        <f aca="false">H10/G10</f>
        <v>0.0385964912280702</v>
      </c>
      <c r="J10" s="22" t="n">
        <v>3111</v>
      </c>
      <c r="K10" s="22" t="n">
        <v>13137</v>
      </c>
      <c r="L10" s="26" t="n">
        <f aca="false">K10/J10</f>
        <v>4.22275795564127</v>
      </c>
      <c r="M10" s="25" t="n">
        <f aca="false">E10/E9-1</f>
        <v>-0.137767444094141</v>
      </c>
    </row>
    <row r="11" customFormat="false" ht="15" hidden="false" customHeight="false" outlineLevel="0" collapsed="false">
      <c r="A11" s="21" t="s">
        <v>106</v>
      </c>
      <c r="B11" s="21" t="n">
        <v>2017</v>
      </c>
      <c r="C11" s="21" t="n">
        <v>7</v>
      </c>
      <c r="D11" s="22" t="n">
        <v>3872</v>
      </c>
      <c r="E11" s="23" t="n">
        <v>481604.52</v>
      </c>
      <c r="F11" s="24" t="n">
        <f aca="false">E11/D11</f>
        <v>124.381332644628</v>
      </c>
      <c r="G11" s="22" t="n">
        <v>3872</v>
      </c>
      <c r="H11" s="22" t="n">
        <v>133</v>
      </c>
      <c r="I11" s="25" t="n">
        <f aca="false">H11/G11</f>
        <v>0.034349173553719</v>
      </c>
      <c r="J11" s="22" t="n">
        <v>3842</v>
      </c>
      <c r="K11" s="22" t="n">
        <v>16365</v>
      </c>
      <c r="L11" s="26" t="n">
        <f aca="false">K11/J11</f>
        <v>4.2595002602811</v>
      </c>
      <c r="M11" s="25" t="n">
        <f aca="false">E11/E10-1</f>
        <v>0.141450211681804</v>
      </c>
    </row>
    <row r="12" customFormat="false" ht="15" hidden="false" customHeight="false" outlineLevel="0" collapsed="false">
      <c r="A12" s="21" t="s">
        <v>107</v>
      </c>
      <c r="B12" s="21" t="n">
        <v>2017</v>
      </c>
      <c r="C12" s="21" t="n">
        <v>8</v>
      </c>
      <c r="D12" s="22" t="n">
        <v>4193</v>
      </c>
      <c r="E12" s="23" t="n">
        <v>554699.7</v>
      </c>
      <c r="F12" s="24" t="n">
        <f aca="false">E12/D12</f>
        <v>132.291843548772</v>
      </c>
      <c r="G12" s="22" t="n">
        <v>4193</v>
      </c>
      <c r="H12" s="22" t="n">
        <v>139</v>
      </c>
      <c r="I12" s="25" t="n">
        <f aca="false">H12/G12</f>
        <v>0.0331504889100882</v>
      </c>
      <c r="J12" s="22" t="n">
        <v>4165</v>
      </c>
      <c r="K12" s="22" t="n">
        <v>17963</v>
      </c>
      <c r="L12" s="26" t="n">
        <f aca="false">K12/J12</f>
        <v>4.31284513805522</v>
      </c>
      <c r="M12" s="25" t="n">
        <f aca="false">E12/E11-1</f>
        <v>0.151774281520447</v>
      </c>
    </row>
    <row r="13" customFormat="false" ht="15" hidden="false" customHeight="false" outlineLevel="0" collapsed="false">
      <c r="A13" s="21" t="s">
        <v>108</v>
      </c>
      <c r="B13" s="21" t="n">
        <v>2017</v>
      </c>
      <c r="C13" s="21" t="n">
        <v>9</v>
      </c>
      <c r="D13" s="22" t="n">
        <v>4150</v>
      </c>
      <c r="E13" s="23" t="n">
        <v>607399.67</v>
      </c>
      <c r="F13" s="24" t="n">
        <f aca="false">E13/D13</f>
        <v>146.36136626506</v>
      </c>
      <c r="G13" s="22" t="n">
        <v>4150</v>
      </c>
      <c r="H13" s="22" t="n">
        <v>216</v>
      </c>
      <c r="I13" s="25" t="n">
        <f aca="false">H13/G13</f>
        <v>0.0520481927710843</v>
      </c>
      <c r="J13" s="22" t="n">
        <v>4118</v>
      </c>
      <c r="K13" s="22" t="n">
        <v>17575</v>
      </c>
      <c r="L13" s="26" t="n">
        <f aca="false">K13/J13</f>
        <v>4.26784847013113</v>
      </c>
      <c r="M13" s="25" t="n">
        <f aca="false">E13/E12-1</f>
        <v>0.0950063070162108</v>
      </c>
    </row>
    <row r="14" customFormat="false" ht="15" hidden="false" customHeight="false" outlineLevel="0" collapsed="false">
      <c r="A14" s="21" t="s">
        <v>109</v>
      </c>
      <c r="B14" s="21" t="n">
        <v>2017</v>
      </c>
      <c r="C14" s="21" t="n">
        <v>10</v>
      </c>
      <c r="D14" s="22" t="n">
        <v>4478</v>
      </c>
      <c r="E14" s="23" t="n">
        <v>648247.65</v>
      </c>
      <c r="F14" s="24" t="n">
        <f aca="false">E14/D14</f>
        <v>144.762762393926</v>
      </c>
      <c r="G14" s="22" t="n">
        <v>4478</v>
      </c>
      <c r="H14" s="22" t="n">
        <v>237</v>
      </c>
      <c r="I14" s="25" t="n">
        <f aca="false">H14/G14</f>
        <v>0.052925413130862</v>
      </c>
      <c r="J14" s="22" t="n">
        <v>4446</v>
      </c>
      <c r="K14" s="22" t="n">
        <v>18695</v>
      </c>
      <c r="L14" s="26" t="n">
        <f aca="false">K14/J14</f>
        <v>4.20490328385065</v>
      </c>
      <c r="M14" s="25" t="n">
        <f aca="false">E14/E13-1</f>
        <v>0.067250579836502</v>
      </c>
    </row>
    <row r="15" customFormat="false" ht="15" hidden="false" customHeight="false" outlineLevel="0" collapsed="false">
      <c r="A15" s="21" t="s">
        <v>110</v>
      </c>
      <c r="B15" s="21" t="n">
        <v>2017</v>
      </c>
      <c r="C15" s="21" t="n">
        <v>11</v>
      </c>
      <c r="D15" s="22" t="n">
        <v>7289</v>
      </c>
      <c r="E15" s="23" t="n">
        <v>987765.37</v>
      </c>
      <c r="F15" s="24" t="n">
        <f aca="false">E15/D15</f>
        <v>135.514524626149</v>
      </c>
      <c r="G15" s="22" t="n">
        <v>7288</v>
      </c>
      <c r="H15" s="22" t="n">
        <v>1043</v>
      </c>
      <c r="I15" s="25" t="n">
        <f aca="false">H15/G15</f>
        <v>0.143111964873765</v>
      </c>
      <c r="J15" s="22" t="n">
        <v>7238</v>
      </c>
      <c r="K15" s="22" t="n">
        <v>28872</v>
      </c>
      <c r="L15" s="26" t="n">
        <f aca="false">K15/J15</f>
        <v>3.98894722298978</v>
      </c>
      <c r="M15" s="25" t="n">
        <f aca="false">E15/E14-1</f>
        <v>0.523746935295485</v>
      </c>
    </row>
    <row r="16" customFormat="false" ht="15" hidden="false" customHeight="false" outlineLevel="0" collapsed="false">
      <c r="A16" s="21" t="s">
        <v>111</v>
      </c>
      <c r="B16" s="21" t="n">
        <v>2017</v>
      </c>
      <c r="C16" s="21" t="n">
        <v>12</v>
      </c>
      <c r="D16" s="22" t="n">
        <v>5513</v>
      </c>
      <c r="E16" s="23" t="n">
        <v>726033.19</v>
      </c>
      <c r="F16" s="24" t="n">
        <f aca="false">E16/D16</f>
        <v>131.694756031199</v>
      </c>
      <c r="G16" s="22" t="n">
        <v>5513</v>
      </c>
      <c r="H16" s="22" t="n">
        <v>462</v>
      </c>
      <c r="I16" s="25" t="n">
        <f aca="false">H16/G16</f>
        <v>0.0838019227280972</v>
      </c>
      <c r="J16" s="22" t="n">
        <v>5461</v>
      </c>
      <c r="K16" s="22" t="n">
        <v>22327</v>
      </c>
      <c r="L16" s="26" t="n">
        <f aca="false">K16/J16</f>
        <v>4.08844533968138</v>
      </c>
      <c r="M16" s="25" t="n">
        <f aca="false">E16/E15-1</f>
        <v>-0.264974039330818</v>
      </c>
    </row>
    <row r="17" customFormat="false" ht="15" hidden="false" customHeight="false" outlineLevel="0" collapsed="false">
      <c r="A17" s="21" t="s">
        <v>112</v>
      </c>
      <c r="B17" s="21" t="n">
        <v>2018</v>
      </c>
      <c r="C17" s="21" t="n">
        <v>1</v>
      </c>
      <c r="D17" s="22" t="n">
        <v>7069</v>
      </c>
      <c r="E17" s="23" t="n">
        <v>924645</v>
      </c>
      <c r="F17" s="24" t="n">
        <f aca="false">E17/D17</f>
        <v>130.802800961947</v>
      </c>
      <c r="G17" s="22" t="n">
        <v>7069</v>
      </c>
      <c r="H17" s="22" t="n">
        <v>464</v>
      </c>
      <c r="I17" s="25" t="n">
        <f aca="false">H17/G17</f>
        <v>0.0656387042014429</v>
      </c>
      <c r="J17" s="22" t="n">
        <v>7013</v>
      </c>
      <c r="K17" s="22" t="n">
        <v>28813</v>
      </c>
      <c r="L17" s="26" t="n">
        <f aca="false">K17/J17</f>
        <v>4.1085127620134</v>
      </c>
      <c r="M17" s="25" t="n">
        <f aca="false">E17/E16-1</f>
        <v>0.273557480202799</v>
      </c>
    </row>
    <row r="18" customFormat="false" ht="15" hidden="false" customHeight="false" outlineLevel="0" collapsed="false">
      <c r="A18" s="21" t="s">
        <v>113</v>
      </c>
      <c r="B18" s="21" t="n">
        <v>2018</v>
      </c>
      <c r="C18" s="21" t="n">
        <v>2</v>
      </c>
      <c r="D18" s="22" t="n">
        <v>6555</v>
      </c>
      <c r="E18" s="23" t="n">
        <v>826437.13</v>
      </c>
      <c r="F18" s="24" t="n">
        <f aca="false">E18/D18</f>
        <v>126.077365369947</v>
      </c>
      <c r="G18" s="22" t="n">
        <v>6555</v>
      </c>
      <c r="H18" s="22" t="n">
        <v>1048</v>
      </c>
      <c r="I18" s="25" t="n">
        <f aca="false">H18/G18</f>
        <v>0.159877955758963</v>
      </c>
      <c r="J18" s="22" t="n">
        <v>6507</v>
      </c>
      <c r="K18" s="22" t="n">
        <v>25251</v>
      </c>
      <c r="L18" s="26" t="n">
        <f aca="false">K18/J18</f>
        <v>3.88059013370217</v>
      </c>
      <c r="M18" s="25" t="n">
        <f aca="false">E18/E17-1</f>
        <v>-0.106211432495715</v>
      </c>
    </row>
    <row r="19" customFormat="false" ht="15" hidden="false" customHeight="false" outlineLevel="0" collapsed="false">
      <c r="A19" s="21" t="s">
        <v>114</v>
      </c>
      <c r="B19" s="21" t="n">
        <v>2018</v>
      </c>
      <c r="C19" s="21" t="n">
        <v>3</v>
      </c>
      <c r="D19" s="22" t="n">
        <v>7003</v>
      </c>
      <c r="E19" s="23" t="n">
        <v>953356.25</v>
      </c>
      <c r="F19" s="24" t="n">
        <f aca="false">E19/D19</f>
        <v>136.135406254462</v>
      </c>
      <c r="G19" s="22" t="n">
        <v>7003</v>
      </c>
      <c r="H19" s="22" t="n">
        <v>1496</v>
      </c>
      <c r="I19" s="25" t="n">
        <f aca="false">H19/G19</f>
        <v>0.21362273311438</v>
      </c>
      <c r="J19" s="22" t="n">
        <v>6948</v>
      </c>
      <c r="K19" s="22" t="n">
        <v>26490</v>
      </c>
      <c r="L19" s="26" t="n">
        <f aca="false">K19/J19</f>
        <v>3.8126079447323</v>
      </c>
      <c r="M19" s="25" t="n">
        <f aca="false">E19/E18-1</f>
        <v>0.15357383567701</v>
      </c>
    </row>
    <row r="20" customFormat="false" ht="15" hidden="false" customHeight="false" outlineLevel="0" collapsed="false">
      <c r="A20" s="21" t="s">
        <v>115</v>
      </c>
      <c r="B20" s="21" t="n">
        <v>2018</v>
      </c>
      <c r="C20" s="21" t="n">
        <v>4</v>
      </c>
      <c r="D20" s="22" t="n">
        <v>6798</v>
      </c>
      <c r="E20" s="23" t="n">
        <v>973534.09</v>
      </c>
      <c r="F20" s="24" t="n">
        <f aca="false">E20/D20</f>
        <v>143.208898205355</v>
      </c>
      <c r="G20" s="22" t="n">
        <v>6798</v>
      </c>
      <c r="H20" s="22" t="n">
        <v>361</v>
      </c>
      <c r="I20" s="25" t="n">
        <f aca="false">H20/G20</f>
        <v>0.0531038540747279</v>
      </c>
      <c r="J20" s="22" t="n">
        <v>6752</v>
      </c>
      <c r="K20" s="22" t="n">
        <v>28398</v>
      </c>
      <c r="L20" s="26" t="n">
        <f aca="false">K20/J20</f>
        <v>4.20586492890995</v>
      </c>
      <c r="M20" s="25" t="n">
        <f aca="false">E20/E19-1</f>
        <v>0.0211650576581419</v>
      </c>
    </row>
    <row r="21" customFormat="false" ht="15" hidden="false" customHeight="false" outlineLevel="0" collapsed="false">
      <c r="A21" s="21" t="s">
        <v>116</v>
      </c>
      <c r="B21" s="21" t="n">
        <v>2018</v>
      </c>
      <c r="C21" s="21" t="n">
        <v>5</v>
      </c>
      <c r="D21" s="22" t="n">
        <v>6749</v>
      </c>
      <c r="E21" s="23" t="n">
        <v>977544.69</v>
      </c>
      <c r="F21" s="24" t="n">
        <f aca="false">E21/D21</f>
        <v>144.842893762039</v>
      </c>
      <c r="G21" s="22" t="n">
        <v>6749</v>
      </c>
      <c r="H21" s="22" t="n">
        <v>556</v>
      </c>
      <c r="I21" s="25" t="n">
        <f aca="false">H21/G21</f>
        <v>0.0823825751963254</v>
      </c>
      <c r="J21" s="22" t="n">
        <v>6722</v>
      </c>
      <c r="K21" s="22" t="n">
        <v>28477</v>
      </c>
      <c r="L21" s="26" t="n">
        <f aca="false">K21/J21</f>
        <v>4.23638797976793</v>
      </c>
      <c r="M21" s="25" t="n">
        <f aca="false">E21/E20-1</f>
        <v>0.00411962975020219</v>
      </c>
    </row>
    <row r="22" customFormat="false" ht="15" hidden="false" customHeight="false" outlineLevel="0" collapsed="false">
      <c r="A22" s="21" t="s">
        <v>117</v>
      </c>
      <c r="B22" s="21" t="n">
        <v>2018</v>
      </c>
      <c r="C22" s="21" t="n">
        <v>6</v>
      </c>
      <c r="D22" s="22" t="n">
        <v>6099</v>
      </c>
      <c r="E22" s="23" t="n">
        <v>856077.86</v>
      </c>
      <c r="F22" s="24" t="n">
        <f aca="false">E22/D22</f>
        <v>140.3636432202</v>
      </c>
      <c r="G22" s="22" t="n">
        <v>6096</v>
      </c>
      <c r="H22" s="22" t="n">
        <v>83</v>
      </c>
      <c r="I22" s="25" t="n">
        <f aca="false">H22/G22</f>
        <v>0.0136154855643045</v>
      </c>
      <c r="J22" s="22" t="n">
        <v>6075</v>
      </c>
      <c r="K22" s="22" t="n">
        <v>26165</v>
      </c>
      <c r="L22" s="26" t="n">
        <f aca="false">K22/J22</f>
        <v>4.30699588477366</v>
      </c>
      <c r="M22" s="25" t="n">
        <f aca="false">E22/E21-1</f>
        <v>-0.124257060820411</v>
      </c>
    </row>
    <row r="23" customFormat="false" ht="15" hidden="false" customHeight="false" outlineLevel="0" collapsed="false">
      <c r="A23" s="21" t="s">
        <v>118</v>
      </c>
      <c r="B23" s="21" t="n">
        <v>2018</v>
      </c>
      <c r="C23" s="21" t="n">
        <v>7</v>
      </c>
      <c r="D23" s="22" t="n">
        <v>6159</v>
      </c>
      <c r="E23" s="23" t="n">
        <v>867953.46</v>
      </c>
      <c r="F23" s="24" t="n">
        <f aca="false">E23/D23</f>
        <v>140.924413054067</v>
      </c>
      <c r="G23" s="22" t="n">
        <v>6156</v>
      </c>
      <c r="H23" s="22" t="n">
        <v>276</v>
      </c>
      <c r="I23" s="25" t="n">
        <f aca="false">H23/G23</f>
        <v>0.0448343079922027</v>
      </c>
      <c r="J23" s="22" t="n">
        <v>6121</v>
      </c>
      <c r="K23" s="22" t="n">
        <v>26429</v>
      </c>
      <c r="L23" s="26" t="n">
        <f aca="false">K23/J23</f>
        <v>4.3177585361869</v>
      </c>
      <c r="M23" s="25" t="n">
        <f aca="false">E23/E22-1</f>
        <v>0.0138721027080411</v>
      </c>
    </row>
    <row r="24" customFormat="false" ht="15" hidden="false" customHeight="false" outlineLevel="0" collapsed="false">
      <c r="A24" s="21" t="s">
        <v>119</v>
      </c>
      <c r="B24" s="21" t="n">
        <v>2018</v>
      </c>
      <c r="C24" s="21" t="n">
        <v>8</v>
      </c>
      <c r="D24" s="22" t="n">
        <v>6351</v>
      </c>
      <c r="E24" s="23" t="n">
        <v>838576.64</v>
      </c>
      <c r="F24" s="24" t="n">
        <f aca="false">E24/D24</f>
        <v>132.038519918123</v>
      </c>
      <c r="G24" s="22" t="n">
        <v>6351</v>
      </c>
      <c r="H24" s="22" t="n">
        <v>660</v>
      </c>
      <c r="I24" s="25" t="n">
        <f aca="false">H24/G24</f>
        <v>0.103920642418517</v>
      </c>
      <c r="J24" s="22" t="n">
        <v>6330</v>
      </c>
      <c r="K24" s="22" t="n">
        <v>27284</v>
      </c>
      <c r="L24" s="26" t="n">
        <f aca="false">K24/J24</f>
        <v>4.31026856240126</v>
      </c>
      <c r="M24" s="25" t="n">
        <f aca="false">E24/E23-1</f>
        <v>-0.0338460774152567</v>
      </c>
    </row>
    <row r="25" customFormat="false" ht="15" hidden="false" customHeight="false" outlineLevel="0" collapsed="false">
      <c r="A25" s="27" t="s">
        <v>120</v>
      </c>
      <c r="B25" s="27"/>
      <c r="C25" s="27"/>
      <c r="D25" s="28" t="n">
        <f aca="false">SUM(D5:D24)</f>
        <v>96211</v>
      </c>
      <c r="E25" s="29" t="n">
        <f aca="false">SUM(E5:E24)</f>
        <v>13181027.13</v>
      </c>
      <c r="F25" s="30" t="n">
        <f aca="false">E25/D25</f>
        <v>137.001248609826</v>
      </c>
      <c r="G25" s="28" t="n">
        <f aca="false">SUM(G5:G24)</f>
        <v>96203</v>
      </c>
      <c r="H25" s="28" t="n">
        <f aca="false">SUM(H5:H24)</f>
        <v>7822</v>
      </c>
      <c r="I25" s="31" t="n">
        <f aca="false">H25/G25</f>
        <v>0.0813072357410892</v>
      </c>
      <c r="J25" s="28" t="n">
        <f aca="false">SUM(J5:J24)</f>
        <v>95568</v>
      </c>
      <c r="K25" s="28" t="n">
        <f aca="false">SUM(K5:K24)</f>
        <v>397212</v>
      </c>
      <c r="L25" s="32" t="n">
        <f aca="false">K25/J25</f>
        <v>4.15632847815168</v>
      </c>
      <c r="M25" s="27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19.7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31.5" hidden="false" customHeight="true" outlineLevel="0" collapsed="false">
      <c r="A4" s="4" t="s">
        <v>123</v>
      </c>
      <c r="B4" s="4" t="s">
        <v>124</v>
      </c>
      <c r="C4" s="4" t="s">
        <v>90</v>
      </c>
      <c r="D4" s="4" t="s">
        <v>95</v>
      </c>
      <c r="E4" s="4" t="s">
        <v>125</v>
      </c>
      <c r="F4" s="4" t="s">
        <v>126</v>
      </c>
      <c r="G4" s="4" t="s">
        <v>98</v>
      </c>
      <c r="H4" s="4" t="s">
        <v>127</v>
      </c>
      <c r="I4" s="33"/>
      <c r="J4" s="4" t="s">
        <v>91</v>
      </c>
      <c r="K4" s="4" t="s">
        <v>128</v>
      </c>
      <c r="L4" s="4" t="s">
        <v>93</v>
      </c>
      <c r="M4" s="4" t="s">
        <v>94</v>
      </c>
      <c r="N4" s="4" t="s">
        <v>129</v>
      </c>
      <c r="O4" s="4" t="s">
        <v>96</v>
      </c>
      <c r="P4" s="4" t="s">
        <v>97</v>
      </c>
    </row>
    <row r="5" customFormat="false" ht="15" hidden="false" customHeight="false" outlineLevel="0" collapsed="false">
      <c r="A5" s="21" t="s">
        <v>130</v>
      </c>
      <c r="B5" s="21" t="s">
        <v>131</v>
      </c>
      <c r="C5" s="22" t="n">
        <v>396</v>
      </c>
      <c r="D5" s="25" t="n">
        <f aca="false">M5/L5</f>
        <v>0.23989898989899</v>
      </c>
      <c r="E5" s="34" t="n">
        <f aca="false">N5/L5</f>
        <v>24.5242424242424</v>
      </c>
      <c r="F5" s="25" t="n">
        <f aca="false">K5/J5</f>
        <v>0.194023454893445</v>
      </c>
      <c r="G5" s="26" t="n">
        <f aca="false">P5/O5</f>
        <v>3.84732824427481</v>
      </c>
      <c r="H5" s="35" t="str">
        <f aca="false">IF(C5&lt;200,"amostra pequena","ok")</f>
        <v>ok</v>
      </c>
      <c r="J5" s="23" t="n">
        <v>78805.73</v>
      </c>
      <c r="K5" s="23" t="n">
        <v>15290.16</v>
      </c>
      <c r="L5" s="22" t="n">
        <v>396</v>
      </c>
      <c r="M5" s="22" t="n">
        <v>95</v>
      </c>
      <c r="N5" s="22" t="n">
        <v>9711.6</v>
      </c>
      <c r="O5" s="22" t="n">
        <v>393</v>
      </c>
      <c r="P5" s="22" t="n">
        <v>1512</v>
      </c>
    </row>
    <row r="6" customFormat="false" ht="15" hidden="false" customHeight="false" outlineLevel="0" collapsed="false">
      <c r="A6" s="21" t="s">
        <v>132</v>
      </c>
      <c r="B6" s="21" t="s">
        <v>131</v>
      </c>
      <c r="C6" s="22" t="n">
        <v>713</v>
      </c>
      <c r="D6" s="25" t="n">
        <f aca="false">M6/L6</f>
        <v>0.196353436185133</v>
      </c>
      <c r="E6" s="34" t="n">
        <f aca="false">N6/L6</f>
        <v>21.5366058906031</v>
      </c>
      <c r="F6" s="25" t="n">
        <f aca="false">K6/J6</f>
        <v>0.262237638377399</v>
      </c>
      <c r="G6" s="26" t="n">
        <f aca="false">P6/O6</f>
        <v>3.8293370944993</v>
      </c>
      <c r="H6" s="35" t="str">
        <f aca="false">IF(C6&lt;200,"amostra pequena","ok")</f>
        <v>ok</v>
      </c>
      <c r="J6" s="23" t="n">
        <v>116305.12</v>
      </c>
      <c r="K6" s="23" t="n">
        <v>30499.58</v>
      </c>
      <c r="L6" s="22" t="n">
        <v>713</v>
      </c>
      <c r="M6" s="22" t="n">
        <v>140</v>
      </c>
      <c r="N6" s="22" t="n">
        <v>15355.6</v>
      </c>
      <c r="O6" s="22" t="n">
        <v>709</v>
      </c>
      <c r="P6" s="22" t="n">
        <v>2715</v>
      </c>
    </row>
    <row r="7" customFormat="false" ht="15" hidden="false" customHeight="false" outlineLevel="0" collapsed="false">
      <c r="A7" s="21" t="s">
        <v>133</v>
      </c>
      <c r="B7" s="21" t="s">
        <v>131</v>
      </c>
      <c r="C7" s="22" t="n">
        <v>475</v>
      </c>
      <c r="D7" s="25" t="n">
        <f aca="false">M7/L7</f>
        <v>0.16</v>
      </c>
      <c r="E7" s="34" t="n">
        <f aca="false">N7/L7</f>
        <v>19.4412631578947</v>
      </c>
      <c r="F7" s="25" t="n">
        <f aca="false">K7/J7</f>
        <v>0.241638366603164</v>
      </c>
      <c r="G7" s="26" t="n">
        <f aca="false">P7/O7</f>
        <v>3.9936170212766</v>
      </c>
      <c r="H7" s="35" t="str">
        <f aca="false">IF(C7&lt;200,"amostra pequena","ok")</f>
        <v>ok</v>
      </c>
      <c r="J7" s="23" t="n">
        <v>84511</v>
      </c>
      <c r="K7" s="23" t="n">
        <v>20421.1</v>
      </c>
      <c r="L7" s="22" t="n">
        <v>475</v>
      </c>
      <c r="M7" s="22" t="n">
        <v>76</v>
      </c>
      <c r="N7" s="22" t="n">
        <v>9234.6</v>
      </c>
      <c r="O7" s="22" t="n">
        <v>470</v>
      </c>
      <c r="P7" s="22" t="n">
        <v>1877</v>
      </c>
    </row>
    <row r="8" customFormat="false" ht="15" hidden="false" customHeight="false" outlineLevel="0" collapsed="false">
      <c r="A8" s="21" t="s">
        <v>134</v>
      </c>
      <c r="B8" s="21" t="s">
        <v>131</v>
      </c>
      <c r="C8" s="22" t="n">
        <v>1273</v>
      </c>
      <c r="D8" s="25" t="n">
        <f aca="false">M8/L8</f>
        <v>0.153967007069914</v>
      </c>
      <c r="E8" s="34" t="n">
        <f aca="false">N8/L8</f>
        <v>21.2377847604085</v>
      </c>
      <c r="F8" s="25" t="n">
        <f aca="false">K8/J8</f>
        <v>0.21293924973763</v>
      </c>
      <c r="G8" s="26" t="n">
        <f aca="false">P8/O8</f>
        <v>3.94001578531965</v>
      </c>
      <c r="H8" s="35" t="str">
        <f aca="false">IF(C8&lt;200,"amostra pequena","ok")</f>
        <v>ok</v>
      </c>
      <c r="J8" s="23" t="n">
        <v>218107.7</v>
      </c>
      <c r="K8" s="23" t="n">
        <v>46443.69</v>
      </c>
      <c r="L8" s="22" t="n">
        <v>1273</v>
      </c>
      <c r="M8" s="22" t="n">
        <v>196</v>
      </c>
      <c r="N8" s="22" t="n">
        <v>27035.7</v>
      </c>
      <c r="O8" s="22" t="n">
        <v>1267</v>
      </c>
      <c r="P8" s="22" t="n">
        <v>4992</v>
      </c>
    </row>
    <row r="9" customFormat="false" ht="15" hidden="false" customHeight="false" outlineLevel="0" collapsed="false">
      <c r="A9" s="21" t="s">
        <v>135</v>
      </c>
      <c r="B9" s="21" t="s">
        <v>131</v>
      </c>
      <c r="C9" s="22" t="n">
        <v>332</v>
      </c>
      <c r="D9" s="25" t="n">
        <f aca="false">M9/L9</f>
        <v>0.153614457831325</v>
      </c>
      <c r="E9" s="34" t="n">
        <f aca="false">N9/L9</f>
        <v>21.4376506024096</v>
      </c>
      <c r="F9" s="25" t="n">
        <f aca="false">K9/J9</f>
        <v>0.242579066434957</v>
      </c>
      <c r="G9" s="26" t="n">
        <f aca="false">P9/O9</f>
        <v>3.90030211480363</v>
      </c>
      <c r="H9" s="35" t="str">
        <f aca="false">IF(C9&lt;200,"amostra pequena","ok")</f>
        <v>ok</v>
      </c>
      <c r="J9" s="23" t="n">
        <v>56288.74</v>
      </c>
      <c r="K9" s="23" t="n">
        <v>13654.47</v>
      </c>
      <c r="L9" s="22" t="n">
        <v>332</v>
      </c>
      <c r="M9" s="22" t="n">
        <v>51</v>
      </c>
      <c r="N9" s="22" t="n">
        <v>7117.3</v>
      </c>
      <c r="O9" s="22" t="n">
        <v>331</v>
      </c>
      <c r="P9" s="22" t="n">
        <v>1291</v>
      </c>
    </row>
    <row r="10" customFormat="false" ht="15" hidden="false" customHeight="false" outlineLevel="0" collapsed="false">
      <c r="A10" s="21" t="s">
        <v>136</v>
      </c>
      <c r="B10" s="21" t="s">
        <v>131</v>
      </c>
      <c r="C10" s="22" t="n">
        <v>3253</v>
      </c>
      <c r="D10" s="25" t="n">
        <f aca="false">M10/L10</f>
        <v>0.140485705502613</v>
      </c>
      <c r="E10" s="34" t="n">
        <f aca="false">N10/L10</f>
        <v>19.3335075315094</v>
      </c>
      <c r="F10" s="25" t="n">
        <f aca="false">K10/J10</f>
        <v>0.197587234391198</v>
      </c>
      <c r="G10" s="26" t="n">
        <f aca="false">P10/O10</f>
        <v>3.93025418474892</v>
      </c>
      <c r="H10" s="35" t="str">
        <f aca="false">IF(C10&lt;200,"amostra pequena","ok")</f>
        <v>ok</v>
      </c>
      <c r="J10" s="23" t="n">
        <v>493339.26</v>
      </c>
      <c r="K10" s="23" t="n">
        <v>97477.54</v>
      </c>
      <c r="L10" s="22" t="n">
        <v>3253</v>
      </c>
      <c r="M10" s="22" t="n">
        <v>457</v>
      </c>
      <c r="N10" s="22" t="n">
        <v>62891.9</v>
      </c>
      <c r="O10" s="22" t="n">
        <v>3226</v>
      </c>
      <c r="P10" s="22" t="n">
        <v>12679</v>
      </c>
    </row>
    <row r="11" customFormat="false" ht="15" hidden="false" customHeight="false" outlineLevel="0" collapsed="false">
      <c r="A11" s="21" t="s">
        <v>137</v>
      </c>
      <c r="B11" s="21" t="s">
        <v>138</v>
      </c>
      <c r="C11" s="22" t="n">
        <v>12310</v>
      </c>
      <c r="D11" s="25" t="n">
        <f aca="false">M11/L11</f>
        <v>0.135174654752234</v>
      </c>
      <c r="E11" s="34" t="n">
        <f aca="false">N11/L11</f>
        <v>15.2967993501219</v>
      </c>
      <c r="F11" s="25" t="n">
        <f aca="false">K11/J11</f>
        <v>0.168389910929265</v>
      </c>
      <c r="G11" s="26" t="n">
        <f aca="false">P11/O11</f>
        <v>3.96549457771936</v>
      </c>
      <c r="H11" s="35" t="str">
        <f aca="false">IF(C11&lt;200,"amostra pequena","ok")</f>
        <v>ok</v>
      </c>
      <c r="J11" s="23" t="n">
        <v>1751433.85</v>
      </c>
      <c r="K11" s="23" t="n">
        <v>294923.79</v>
      </c>
      <c r="L11" s="22" t="n">
        <v>12310</v>
      </c>
      <c r="M11" s="22" t="n">
        <v>1664</v>
      </c>
      <c r="N11" s="22" t="n">
        <v>188303.6</v>
      </c>
      <c r="O11" s="22" t="n">
        <v>12172</v>
      </c>
      <c r="P11" s="22" t="n">
        <v>48268</v>
      </c>
    </row>
    <row r="12" customFormat="false" ht="15" hidden="false" customHeight="false" outlineLevel="0" collapsed="false">
      <c r="A12" s="21" t="s">
        <v>139</v>
      </c>
      <c r="B12" s="21" t="s">
        <v>140</v>
      </c>
      <c r="C12" s="22" t="n">
        <v>274</v>
      </c>
      <c r="D12" s="25" t="n">
        <f aca="false">M12/L12</f>
        <v>0.127737226277372</v>
      </c>
      <c r="E12" s="34" t="n">
        <f aca="false">N12/L12</f>
        <v>17.6565693430657</v>
      </c>
      <c r="F12" s="25" t="n">
        <f aca="false">K12/J12</f>
        <v>0.239757401010815</v>
      </c>
      <c r="G12" s="26" t="n">
        <f aca="false">P12/O12</f>
        <v>4.15384615384615</v>
      </c>
      <c r="H12" s="35" t="str">
        <f aca="false">IF(C12&lt;200,"amostra pequena","ok")</f>
        <v>ok</v>
      </c>
      <c r="J12" s="23" t="n">
        <v>48402.51</v>
      </c>
      <c r="K12" s="23" t="n">
        <v>11604.86</v>
      </c>
      <c r="L12" s="22" t="n">
        <v>274</v>
      </c>
      <c r="M12" s="22" t="n">
        <v>35</v>
      </c>
      <c r="N12" s="22" t="n">
        <v>4837.9</v>
      </c>
      <c r="O12" s="22" t="n">
        <v>273</v>
      </c>
      <c r="P12" s="22" t="n">
        <v>1134</v>
      </c>
    </row>
    <row r="13" customFormat="false" ht="15" hidden="false" customHeight="false" outlineLevel="0" collapsed="false">
      <c r="A13" s="21" t="s">
        <v>141</v>
      </c>
      <c r="B13" s="21" t="s">
        <v>140</v>
      </c>
      <c r="C13" s="22" t="n">
        <v>40</v>
      </c>
      <c r="D13" s="25" t="n">
        <f aca="false">M13/L13</f>
        <v>0.125</v>
      </c>
      <c r="E13" s="34" t="n">
        <f aca="false">N13/L13</f>
        <v>29.905</v>
      </c>
      <c r="F13" s="25" t="n">
        <f aca="false">K13/J13</f>
        <v>0.278255058230749</v>
      </c>
      <c r="G13" s="26" t="n">
        <f aca="false">P13/O13</f>
        <v>3.9</v>
      </c>
      <c r="H13" s="35" t="str">
        <f aca="false">IF(C13&lt;200,"amostra pequena","ok")</f>
        <v>amostra pequena</v>
      </c>
      <c r="J13" s="23" t="n">
        <v>7017.77</v>
      </c>
      <c r="K13" s="23" t="n">
        <v>1952.73</v>
      </c>
      <c r="L13" s="22" t="n">
        <v>40</v>
      </c>
      <c r="M13" s="22" t="n">
        <v>5</v>
      </c>
      <c r="N13" s="22" t="n">
        <v>1196.2</v>
      </c>
      <c r="O13" s="22" t="n">
        <v>40</v>
      </c>
      <c r="P13" s="22" t="n">
        <v>156</v>
      </c>
    </row>
    <row r="14" customFormat="false" ht="15" hidden="false" customHeight="false" outlineLevel="0" collapsed="false">
      <c r="A14" s="21" t="s">
        <v>142</v>
      </c>
      <c r="B14" s="21" t="s">
        <v>140</v>
      </c>
      <c r="C14" s="22" t="n">
        <v>942</v>
      </c>
      <c r="D14" s="25" t="n">
        <f aca="false">M14/L14</f>
        <v>0.124203821656051</v>
      </c>
      <c r="E14" s="34" t="n">
        <f aca="false">N14/L14</f>
        <v>23.7577494692144</v>
      </c>
      <c r="F14" s="25" t="n">
        <f aca="false">K14/J14</f>
        <v>0.215462254976685</v>
      </c>
      <c r="G14" s="26" t="n">
        <f aca="false">P14/O14</f>
        <v>3.91280947255113</v>
      </c>
      <c r="H14" s="35" t="str">
        <f aca="false">IF(C14&lt;200,"amostra pequena","ok")</f>
        <v>ok</v>
      </c>
      <c r="J14" s="23" t="n">
        <v>173382.99</v>
      </c>
      <c r="K14" s="23" t="n">
        <v>37357.49</v>
      </c>
      <c r="L14" s="22" t="n">
        <v>942</v>
      </c>
      <c r="M14" s="22" t="n">
        <v>117</v>
      </c>
      <c r="N14" s="22" t="n">
        <v>22379.8</v>
      </c>
      <c r="O14" s="22" t="n">
        <v>929</v>
      </c>
      <c r="P14" s="22" t="n">
        <v>3635</v>
      </c>
    </row>
    <row r="15" customFormat="false" ht="15" hidden="false" customHeight="false" outlineLevel="0" collapsed="false">
      <c r="A15" s="21" t="s">
        <v>143</v>
      </c>
      <c r="B15" s="21" t="s">
        <v>138</v>
      </c>
      <c r="C15" s="22" t="n">
        <v>1992</v>
      </c>
      <c r="D15" s="25" t="n">
        <f aca="false">M15/L15</f>
        <v>0.122489959839357</v>
      </c>
      <c r="E15" s="34" t="n">
        <f aca="false">N15/L15</f>
        <v>15.7742469879518</v>
      </c>
      <c r="F15" s="25" t="n">
        <f aca="false">K15/J15</f>
        <v>0.182544595887591</v>
      </c>
      <c r="G15" s="26" t="n">
        <f aca="false">P15/O15</f>
        <v>4.07884028484232</v>
      </c>
      <c r="H15" s="35" t="str">
        <f aca="false">IF(C15&lt;200,"amostra pequena","ok")</f>
        <v>ok</v>
      </c>
      <c r="J15" s="23" t="n">
        <v>267783.66</v>
      </c>
      <c r="K15" s="23" t="n">
        <v>48882.46</v>
      </c>
      <c r="L15" s="22" t="n">
        <v>1992</v>
      </c>
      <c r="M15" s="22" t="n">
        <v>244</v>
      </c>
      <c r="N15" s="22" t="n">
        <v>31422.3</v>
      </c>
      <c r="O15" s="22" t="n">
        <v>1966</v>
      </c>
      <c r="P15" s="22" t="n">
        <v>8019</v>
      </c>
    </row>
    <row r="16" customFormat="false" ht="15" hidden="false" customHeight="false" outlineLevel="0" collapsed="false">
      <c r="A16" s="21" t="s">
        <v>144</v>
      </c>
      <c r="B16" s="21" t="s">
        <v>145</v>
      </c>
      <c r="C16" s="22" t="n">
        <v>701</v>
      </c>
      <c r="D16" s="25" t="n">
        <f aca="false">M16/L16</f>
        <v>0.115549215406562</v>
      </c>
      <c r="E16" s="34" t="n">
        <f aca="false">N16/L16</f>
        <v>15.6184022824536</v>
      </c>
      <c r="F16" s="25" t="n">
        <f aca="false">K16/J16</f>
        <v>0.164061205248516</v>
      </c>
      <c r="G16" s="26" t="n">
        <f aca="false">P16/O16</f>
        <v>4.16165951359084</v>
      </c>
      <c r="H16" s="35" t="str">
        <f aca="false">IF(C16&lt;200,"amostra pequena","ok")</f>
        <v>ok</v>
      </c>
      <c r="J16" s="23" t="n">
        <v>115429.97</v>
      </c>
      <c r="K16" s="23" t="n">
        <v>18937.58</v>
      </c>
      <c r="L16" s="22" t="n">
        <v>701</v>
      </c>
      <c r="M16" s="22" t="n">
        <v>81</v>
      </c>
      <c r="N16" s="22" t="n">
        <v>10948.5</v>
      </c>
      <c r="O16" s="22" t="n">
        <v>699</v>
      </c>
      <c r="P16" s="22" t="n">
        <v>2909</v>
      </c>
    </row>
    <row r="17" customFormat="false" ht="15" hidden="false" customHeight="false" outlineLevel="0" collapsed="false">
      <c r="A17" s="21" t="s">
        <v>146</v>
      </c>
      <c r="B17" s="21" t="s">
        <v>131</v>
      </c>
      <c r="C17" s="22" t="n">
        <v>516</v>
      </c>
      <c r="D17" s="25" t="n">
        <f aca="false">M17/L17</f>
        <v>0.11046511627907</v>
      </c>
      <c r="E17" s="34" t="n">
        <f aca="false">N17/L17</f>
        <v>20.3914728682171</v>
      </c>
      <c r="F17" s="25" t="n">
        <f aca="false">K17/J17</f>
        <v>0.224165456100984</v>
      </c>
      <c r="G17" s="26" t="n">
        <f aca="false">P17/O17</f>
        <v>4.07436399217221</v>
      </c>
      <c r="H17" s="35" t="str">
        <f aca="false">IF(C17&lt;200,"amostra pequena","ok")</f>
        <v>ok</v>
      </c>
      <c r="J17" s="23" t="n">
        <v>112536.92</v>
      </c>
      <c r="K17" s="23" t="n">
        <v>25226.89</v>
      </c>
      <c r="L17" s="22" t="n">
        <v>516</v>
      </c>
      <c r="M17" s="22" t="n">
        <v>57</v>
      </c>
      <c r="N17" s="22" t="n">
        <v>10522</v>
      </c>
      <c r="O17" s="22" t="n">
        <v>511</v>
      </c>
      <c r="P17" s="22" t="n">
        <v>2082</v>
      </c>
    </row>
    <row r="18" customFormat="false" ht="15" hidden="false" customHeight="false" outlineLevel="0" collapsed="false">
      <c r="A18" s="21" t="s">
        <v>147</v>
      </c>
      <c r="B18" s="21" t="s">
        <v>131</v>
      </c>
      <c r="C18" s="22" t="n">
        <v>470</v>
      </c>
      <c r="D18" s="25" t="n">
        <f aca="false">M18/L18</f>
        <v>0.108510638297872</v>
      </c>
      <c r="E18" s="34" t="n">
        <f aca="false">N18/L18</f>
        <v>19.2089361702128</v>
      </c>
      <c r="F18" s="25" t="n">
        <f aca="false">K18/J18</f>
        <v>0.226802128415447</v>
      </c>
      <c r="G18" s="26" t="n">
        <f aca="false">P18/O18</f>
        <v>4.14346895074946</v>
      </c>
      <c r="H18" s="35" t="str">
        <f aca="false">IF(C18&lt;200,"amostra pequena","ok")</f>
        <v>ok</v>
      </c>
      <c r="J18" s="23" t="n">
        <v>81376.97</v>
      </c>
      <c r="K18" s="23" t="n">
        <v>18456.47</v>
      </c>
      <c r="L18" s="22" t="n">
        <v>470</v>
      </c>
      <c r="M18" s="22" t="n">
        <v>51</v>
      </c>
      <c r="N18" s="22" t="n">
        <v>9028.2</v>
      </c>
      <c r="O18" s="22" t="n">
        <v>467</v>
      </c>
      <c r="P18" s="22" t="n">
        <v>1935</v>
      </c>
    </row>
    <row r="19" customFormat="false" ht="15" hidden="false" customHeight="false" outlineLevel="0" collapsed="false">
      <c r="A19" s="21" t="s">
        <v>148</v>
      </c>
      <c r="B19" s="21" t="s">
        <v>131</v>
      </c>
      <c r="C19" s="22" t="n">
        <v>1587</v>
      </c>
      <c r="D19" s="25" t="n">
        <f aca="false">M19/L19</f>
        <v>0.108380592312539</v>
      </c>
      <c r="E19" s="34" t="n">
        <f aca="false">N19/L19</f>
        <v>18.4499684940139</v>
      </c>
      <c r="F19" s="25" t="n">
        <f aca="false">K19/J19</f>
        <v>0.226572913034713</v>
      </c>
      <c r="G19" s="26" t="n">
        <f aca="false">P19/O19</f>
        <v>4.08200890019072</v>
      </c>
      <c r="H19" s="35" t="str">
        <f aca="false">IF(C19&lt;200,"amostra pequena","ok")</f>
        <v>ok</v>
      </c>
      <c r="J19" s="23" t="n">
        <v>250639.89</v>
      </c>
      <c r="K19" s="23" t="n">
        <v>56788.21</v>
      </c>
      <c r="L19" s="22" t="n">
        <v>1587</v>
      </c>
      <c r="M19" s="22" t="n">
        <v>172</v>
      </c>
      <c r="N19" s="22" t="n">
        <v>29280.1</v>
      </c>
      <c r="O19" s="22" t="n">
        <v>1573</v>
      </c>
      <c r="P19" s="22" t="n">
        <v>6421</v>
      </c>
    </row>
    <row r="20" customFormat="false" ht="15" hidden="false" customHeight="false" outlineLevel="0" collapsed="false">
      <c r="A20" s="21" t="s">
        <v>149</v>
      </c>
      <c r="B20" s="21" t="s">
        <v>150</v>
      </c>
      <c r="C20" s="22" t="n">
        <v>3537</v>
      </c>
      <c r="D20" s="25" t="n">
        <f aca="false">M20/L20</f>
        <v>0.0978230138535482</v>
      </c>
      <c r="E20" s="34" t="n">
        <f aca="false">N20/L20</f>
        <v>14.9456884365281</v>
      </c>
      <c r="F20" s="25" t="n">
        <f aca="false">K20/J20</f>
        <v>0.174044181786121</v>
      </c>
      <c r="G20" s="26" t="n">
        <f aca="false">P20/O20</f>
        <v>4.13418803418804</v>
      </c>
      <c r="H20" s="35" t="str">
        <f aca="false">IF(C20&lt;200,"amostra pequena","ok")</f>
        <v>ok</v>
      </c>
      <c r="J20" s="23" t="n">
        <v>504774.07</v>
      </c>
      <c r="K20" s="23" t="n">
        <v>87852.99</v>
      </c>
      <c r="L20" s="22" t="n">
        <v>3537</v>
      </c>
      <c r="M20" s="22" t="n">
        <v>346</v>
      </c>
      <c r="N20" s="22" t="n">
        <v>52862.9</v>
      </c>
      <c r="O20" s="22" t="n">
        <v>3510</v>
      </c>
      <c r="P20" s="22" t="n">
        <v>14511</v>
      </c>
    </row>
    <row r="21" customFormat="false" ht="15" hidden="false" customHeight="false" outlineLevel="0" collapsed="false">
      <c r="A21" s="21" t="s">
        <v>151</v>
      </c>
      <c r="B21" s="21" t="s">
        <v>145</v>
      </c>
      <c r="C21" s="22" t="n">
        <v>1950</v>
      </c>
      <c r="D21" s="25" t="n">
        <f aca="false">M21/L21</f>
        <v>0.0820512820512821</v>
      </c>
      <c r="E21" s="34" t="n">
        <f aca="false">N21/L21</f>
        <v>15.6111794871795</v>
      </c>
      <c r="F21" s="25" t="n">
        <f aca="false">K21/J21</f>
        <v>0.181689137257499</v>
      </c>
      <c r="G21" s="26" t="n">
        <f aca="false">P21/O21</f>
        <v>4.10366168127901</v>
      </c>
      <c r="H21" s="35" t="str">
        <f aca="false">IF(C21&lt;200,"amostra pequena","ok")</f>
        <v>ok</v>
      </c>
      <c r="J21" s="23" t="n">
        <v>281932.21</v>
      </c>
      <c r="K21" s="23" t="n">
        <v>51224.02</v>
      </c>
      <c r="L21" s="22" t="n">
        <v>1950</v>
      </c>
      <c r="M21" s="22" t="n">
        <v>160</v>
      </c>
      <c r="N21" s="22" t="n">
        <v>30441.8</v>
      </c>
      <c r="O21" s="22" t="n">
        <v>1939</v>
      </c>
      <c r="P21" s="22" t="n">
        <v>7957</v>
      </c>
    </row>
    <row r="22" customFormat="false" ht="15" hidden="false" customHeight="false" outlineLevel="0" collapsed="false">
      <c r="A22" s="21" t="s">
        <v>152</v>
      </c>
      <c r="B22" s="21" t="s">
        <v>150</v>
      </c>
      <c r="C22" s="22" t="n">
        <v>5328</v>
      </c>
      <c r="D22" s="25" t="n">
        <f aca="false">M22/L22</f>
        <v>0.0717101558100244</v>
      </c>
      <c r="E22" s="34" t="n">
        <f aca="false">N22/L22</f>
        <v>15.2897691008072</v>
      </c>
      <c r="F22" s="25" t="n">
        <f aca="false">K22/J22</f>
        <v>0.182000972722148</v>
      </c>
      <c r="G22" s="26" t="n">
        <f aca="false">P22/O22</f>
        <v>4.18531073446328</v>
      </c>
      <c r="H22" s="35" t="str">
        <f aca="false">IF(C22&lt;200,"amostra pequena","ok")</f>
        <v>ok</v>
      </c>
      <c r="J22" s="23" t="n">
        <v>726373.92</v>
      </c>
      <c r="K22" s="23" t="n">
        <v>132200.76</v>
      </c>
      <c r="L22" s="22" t="n">
        <v>5327</v>
      </c>
      <c r="M22" s="22" t="n">
        <v>382</v>
      </c>
      <c r="N22" s="22" t="n">
        <v>81448.6</v>
      </c>
      <c r="O22" s="22" t="n">
        <v>5310</v>
      </c>
      <c r="P22" s="22" t="n">
        <v>22224</v>
      </c>
    </row>
    <row r="23" customFormat="false" ht="15" hidden="false" customHeight="false" outlineLevel="0" collapsed="false">
      <c r="A23" s="21" t="s">
        <v>153</v>
      </c>
      <c r="B23" s="21" t="s">
        <v>145</v>
      </c>
      <c r="C23" s="22" t="n">
        <v>2074</v>
      </c>
      <c r="D23" s="25" t="n">
        <f aca="false">M23/L23</f>
        <v>0.070877531340405</v>
      </c>
      <c r="E23" s="34" t="n">
        <f aca="false">N23/L23</f>
        <v>12.9389585342334</v>
      </c>
      <c r="F23" s="25" t="n">
        <f aca="false">K23/J23</f>
        <v>0.167432131037103</v>
      </c>
      <c r="G23" s="26" t="n">
        <f aca="false">P23/O23</f>
        <v>4.13420542635659</v>
      </c>
      <c r="H23" s="35" t="str">
        <f aca="false">IF(C23&lt;200,"amostra pequena","ok")</f>
        <v>ok</v>
      </c>
      <c r="J23" s="23" t="n">
        <v>295454.64</v>
      </c>
      <c r="K23" s="23" t="n">
        <v>49468.6</v>
      </c>
      <c r="L23" s="22" t="n">
        <v>2074</v>
      </c>
      <c r="M23" s="22" t="n">
        <v>147</v>
      </c>
      <c r="N23" s="22" t="n">
        <v>26835.4</v>
      </c>
      <c r="O23" s="22" t="n">
        <v>2064</v>
      </c>
      <c r="P23" s="22" t="n">
        <v>8533</v>
      </c>
    </row>
    <row r="24" customFormat="false" ht="15" hidden="false" customHeight="false" outlineLevel="0" collapsed="false">
      <c r="A24" s="21" t="s">
        <v>154</v>
      </c>
      <c r="B24" s="21" t="s">
        <v>145</v>
      </c>
      <c r="C24" s="22" t="n">
        <v>885</v>
      </c>
      <c r="D24" s="25" t="n">
        <f aca="false">M24/L24</f>
        <v>0.0677966101694915</v>
      </c>
      <c r="E24" s="34" t="n">
        <f aca="false">N24/L24</f>
        <v>18.0682485875706</v>
      </c>
      <c r="F24" s="25" t="n">
        <f aca="false">K24/J24</f>
        <v>0.190472146683316</v>
      </c>
      <c r="G24" s="26" t="n">
        <f aca="false">P24/O24</f>
        <v>4.14464692482916</v>
      </c>
      <c r="H24" s="35" t="str">
        <f aca="false">IF(C24&lt;200,"amostra pequena","ok")</f>
        <v>ok</v>
      </c>
      <c r="J24" s="23" t="n">
        <v>152143.82</v>
      </c>
      <c r="K24" s="23" t="n">
        <v>28979.16</v>
      </c>
      <c r="L24" s="22" t="n">
        <v>885</v>
      </c>
      <c r="M24" s="22" t="n">
        <v>60</v>
      </c>
      <c r="N24" s="22" t="n">
        <v>15990.4</v>
      </c>
      <c r="O24" s="22" t="n">
        <v>878</v>
      </c>
      <c r="P24" s="22" t="n">
        <v>3639</v>
      </c>
    </row>
    <row r="25" customFormat="false" ht="15" hidden="false" customHeight="false" outlineLevel="0" collapsed="false">
      <c r="A25" s="21" t="s">
        <v>155</v>
      </c>
      <c r="B25" s="21" t="s">
        <v>138</v>
      </c>
      <c r="C25" s="22" t="n">
        <v>40406</v>
      </c>
      <c r="D25" s="25" t="n">
        <f aca="false">M25/L25</f>
        <v>0.059011361667368</v>
      </c>
      <c r="E25" s="34" t="n">
        <f aca="false">N25/L25</f>
        <v>8.73764449615089</v>
      </c>
      <c r="F25" s="25" t="n">
        <f aca="false">K25/J25</f>
        <v>0.138542292317292</v>
      </c>
      <c r="G25" s="26" t="n">
        <f aca="false">P25/O25</f>
        <v>4.24657772910548</v>
      </c>
      <c r="H25" s="35" t="str">
        <f aca="false">IF(C25&lt;200,"amostra pequena","ok")</f>
        <v>ok</v>
      </c>
      <c r="J25" s="23" t="n">
        <v>5055587.13</v>
      </c>
      <c r="K25" s="23" t="n">
        <v>700412.63</v>
      </c>
      <c r="L25" s="22" t="n">
        <v>40399</v>
      </c>
      <c r="M25" s="22" t="n">
        <v>2384</v>
      </c>
      <c r="N25" s="22" t="n">
        <v>352992.1</v>
      </c>
      <c r="O25" s="22" t="n">
        <v>40178</v>
      </c>
      <c r="P25" s="22" t="n">
        <v>170619</v>
      </c>
    </row>
    <row r="26" customFormat="false" ht="15" hidden="false" customHeight="false" outlineLevel="0" collapsed="false">
      <c r="A26" s="21" t="s">
        <v>156</v>
      </c>
      <c r="B26" s="21" t="s">
        <v>138</v>
      </c>
      <c r="C26" s="22" t="n">
        <v>11319</v>
      </c>
      <c r="D26" s="25" t="n">
        <f aca="false">M26/L26</f>
        <v>0.0562770562770563</v>
      </c>
      <c r="E26" s="34" t="n">
        <f aca="false">N26/L26</f>
        <v>11.9843890803074</v>
      </c>
      <c r="F26" s="25" t="n">
        <f aca="false">K26/J26</f>
        <v>0.17164850087735</v>
      </c>
      <c r="G26" s="26" t="n">
        <f aca="false">P26/O26</f>
        <v>4.19358279264066</v>
      </c>
      <c r="H26" s="35" t="str">
        <f aca="false">IF(C26&lt;200,"amostra pequena","ok")</f>
        <v>ok</v>
      </c>
      <c r="J26" s="23" t="n">
        <v>1548206.88</v>
      </c>
      <c r="K26" s="23" t="n">
        <v>265747.39</v>
      </c>
      <c r="L26" s="22" t="n">
        <v>11319</v>
      </c>
      <c r="M26" s="22" t="n">
        <v>637</v>
      </c>
      <c r="N26" s="22" t="n">
        <v>135651.3</v>
      </c>
      <c r="O26" s="22" t="n">
        <v>11251</v>
      </c>
      <c r="P26" s="22" t="n">
        <v>47182</v>
      </c>
    </row>
    <row r="27" customFormat="false" ht="15" hidden="false" customHeight="false" outlineLevel="0" collapsed="false">
      <c r="A27" s="21" t="s">
        <v>157</v>
      </c>
      <c r="B27" s="21" t="s">
        <v>150</v>
      </c>
      <c r="C27" s="22" t="n">
        <v>4903</v>
      </c>
      <c r="D27" s="25" t="n">
        <f aca="false">M27/L27</f>
        <v>0.0501733632469916</v>
      </c>
      <c r="E27" s="34" t="n">
        <f aca="false">N27/L27</f>
        <v>11.9725678156231</v>
      </c>
      <c r="F27" s="25" t="n">
        <f aca="false">K27/J27</f>
        <v>0.17343035443221</v>
      </c>
      <c r="G27" s="26" t="n">
        <f aca="false">P27/O27</f>
        <v>4.24098360655738</v>
      </c>
      <c r="H27" s="35" t="str">
        <f aca="false">IF(C27&lt;200,"amostra pequena","ok")</f>
        <v>ok</v>
      </c>
      <c r="J27" s="23" t="n">
        <v>664048</v>
      </c>
      <c r="K27" s="23" t="n">
        <v>115166.08</v>
      </c>
      <c r="L27" s="22" t="n">
        <v>4903</v>
      </c>
      <c r="M27" s="22" t="n">
        <v>246</v>
      </c>
      <c r="N27" s="22" t="n">
        <v>58701.5</v>
      </c>
      <c r="O27" s="22" t="n">
        <v>4880</v>
      </c>
      <c r="P27" s="22" t="n">
        <v>20696</v>
      </c>
    </row>
    <row r="28" customFormat="false" ht="15" hidden="false" customHeight="false" outlineLevel="0" collapsed="false">
      <c r="A28" s="21" t="s">
        <v>158</v>
      </c>
      <c r="B28" s="21" t="s">
        <v>140</v>
      </c>
      <c r="C28" s="22" t="n">
        <v>67</v>
      </c>
      <c r="D28" s="25" t="n">
        <f aca="false">M28/L28</f>
        <v>0.0447761194029851</v>
      </c>
      <c r="E28" s="34" t="n">
        <f aca="false">N28/L28</f>
        <v>27.1865671641791</v>
      </c>
      <c r="F28" s="25" t="n">
        <f aca="false">K28/J28</f>
        <v>0.206881443549478</v>
      </c>
      <c r="G28" s="26" t="n">
        <f aca="false">P28/O28</f>
        <v>4.24242424242424</v>
      </c>
      <c r="H28" s="35" t="str">
        <f aca="false">IF(C28&lt;200,"amostra pequena","ok")</f>
        <v>amostra pequena</v>
      </c>
      <c r="J28" s="23" t="n">
        <v>13374.81</v>
      </c>
      <c r="K28" s="23" t="n">
        <v>2767</v>
      </c>
      <c r="L28" s="22" t="n">
        <v>67</v>
      </c>
      <c r="M28" s="22" t="n">
        <v>3</v>
      </c>
      <c r="N28" s="22" t="n">
        <v>1821.5</v>
      </c>
      <c r="O28" s="22" t="n">
        <v>66</v>
      </c>
      <c r="P28" s="22" t="n">
        <v>280</v>
      </c>
    </row>
    <row r="29" customFormat="false" ht="15" hidden="false" customHeight="false" outlineLevel="0" collapsed="false">
      <c r="A29" s="21" t="s">
        <v>159</v>
      </c>
      <c r="B29" s="21" t="s">
        <v>140</v>
      </c>
      <c r="C29" s="22" t="n">
        <v>145</v>
      </c>
      <c r="D29" s="25" t="n">
        <f aca="false">M29/L29</f>
        <v>0.0413793103448276</v>
      </c>
      <c r="E29" s="34" t="n">
        <f aca="false">N29/L29</f>
        <v>26.4227586206897</v>
      </c>
      <c r="F29" s="25" t="n">
        <f aca="false">K29/J29</f>
        <v>0.245065409390933</v>
      </c>
      <c r="G29" s="26" t="n">
        <f aca="false">P29/O29</f>
        <v>4.24305555555556</v>
      </c>
      <c r="H29" s="35" t="str">
        <f aca="false">IF(C29&lt;200,"amostra pequena","ok")</f>
        <v>amostra pequena</v>
      </c>
      <c r="J29" s="23" t="n">
        <v>22155.84</v>
      </c>
      <c r="K29" s="23" t="n">
        <v>5429.63</v>
      </c>
      <c r="L29" s="22" t="n">
        <v>145</v>
      </c>
      <c r="M29" s="22" t="n">
        <v>6</v>
      </c>
      <c r="N29" s="22" t="n">
        <v>3831.3</v>
      </c>
      <c r="O29" s="22" t="n">
        <v>144</v>
      </c>
      <c r="P29" s="22" t="n">
        <v>611</v>
      </c>
    </row>
    <row r="30" customFormat="false" ht="15" hidden="false" customHeight="false" outlineLevel="0" collapsed="false">
      <c r="A30" s="21" t="s">
        <v>160</v>
      </c>
      <c r="B30" s="21" t="s">
        <v>140</v>
      </c>
      <c r="C30" s="22" t="n">
        <v>80</v>
      </c>
      <c r="D30" s="25" t="n">
        <f aca="false">M30/L30</f>
        <v>0.0375</v>
      </c>
      <c r="E30" s="34" t="n">
        <f aca="false">N30/L30</f>
        <v>21.0325</v>
      </c>
      <c r="F30" s="25" t="n">
        <f aca="false">K30/J30</f>
        <v>0.228759454069652</v>
      </c>
      <c r="G30" s="26" t="n">
        <f aca="false">P30/O30</f>
        <v>4.0875</v>
      </c>
      <c r="H30" s="35" t="str">
        <f aca="false">IF(C30&lt;200,"amostra pequena","ok")</f>
        <v>amostra pequena</v>
      </c>
      <c r="J30" s="23" t="n">
        <v>15930.97</v>
      </c>
      <c r="K30" s="23" t="n">
        <v>3644.36</v>
      </c>
      <c r="L30" s="22" t="n">
        <v>80</v>
      </c>
      <c r="M30" s="22" t="n">
        <v>3</v>
      </c>
      <c r="N30" s="22" t="n">
        <v>1682.6</v>
      </c>
      <c r="O30" s="22" t="n">
        <v>80</v>
      </c>
      <c r="P30" s="22" t="n">
        <v>327</v>
      </c>
    </row>
    <row r="31" customFormat="false" ht="15" hidden="false" customHeight="false" outlineLevel="0" collapsed="false">
      <c r="A31" s="21" t="s">
        <v>161</v>
      </c>
      <c r="B31" s="21" t="s">
        <v>140</v>
      </c>
      <c r="C31" s="22" t="n">
        <v>243</v>
      </c>
      <c r="D31" s="25" t="n">
        <f aca="false">M31/L31</f>
        <v>0.0288065843621399</v>
      </c>
      <c r="E31" s="34" t="n">
        <f aca="false">N31/L31</f>
        <v>19.3748971193416</v>
      </c>
      <c r="F31" s="25" t="n">
        <f aca="false">K31/J31</f>
        <v>0.246991206310652</v>
      </c>
      <c r="G31" s="26" t="n">
        <f aca="false">P31/O31</f>
        <v>4.16528925619835</v>
      </c>
      <c r="H31" s="35" t="str">
        <f aca="false">IF(C31&lt;200,"amostra pequena","ok")</f>
        <v>ok</v>
      </c>
      <c r="J31" s="23" t="n">
        <v>45682.76</v>
      </c>
      <c r="K31" s="23" t="n">
        <v>11283.24</v>
      </c>
      <c r="L31" s="22" t="n">
        <v>243</v>
      </c>
      <c r="M31" s="22" t="n">
        <v>7</v>
      </c>
      <c r="N31" s="22" t="n">
        <v>4708.1</v>
      </c>
      <c r="O31" s="22" t="n">
        <v>242</v>
      </c>
      <c r="P31" s="22" t="n">
        <v>1008</v>
      </c>
    </row>
    <row r="32" customFormat="false" ht="15" hidden="false" customHeight="false" outlineLevel="0" collapsed="false">
      <c r="A32" s="27" t="s">
        <v>120</v>
      </c>
      <c r="B32" s="27"/>
      <c r="C32" s="28" t="n">
        <f aca="false">SUM(C5:C31)</f>
        <v>96211</v>
      </c>
      <c r="D32" s="31" t="n">
        <f aca="false">M32/L32</f>
        <v>0.0813072357410892</v>
      </c>
      <c r="E32" s="36" t="n">
        <f aca="false">N32/L32</f>
        <v>12.5384114840494</v>
      </c>
      <c r="F32" s="31" t="n">
        <f aca="false">K32/J32</f>
        <v>0.166306681442966</v>
      </c>
      <c r="G32" s="32" t="n">
        <f aca="false">P32/O32</f>
        <v>4.15632847815168</v>
      </c>
      <c r="H32" s="27"/>
      <c r="J32" s="29" t="n">
        <f aca="false">SUM(J5:J31)</f>
        <v>13181027.13</v>
      </c>
      <c r="K32" s="29" t="n">
        <f aca="false">SUM(K5:K31)</f>
        <v>2192092.88</v>
      </c>
      <c r="L32" s="28" t="n">
        <f aca="false">SUM(L5:L31)</f>
        <v>96203</v>
      </c>
      <c r="M32" s="28" t="n">
        <f aca="false">SUM(M5:M31)</f>
        <v>7822</v>
      </c>
      <c r="N32" s="28" t="n">
        <f aca="false">SUM(N5:N31)</f>
        <v>1206232.8</v>
      </c>
      <c r="O32" s="28" t="n">
        <f aca="false">SUM(O5:O31)</f>
        <v>95568</v>
      </c>
      <c r="P32" s="28" t="n">
        <f aca="false">SUM(P5:P31)</f>
        <v>397212</v>
      </c>
    </row>
    <row r="34" customFormat="false" ht="15" hidden="false" customHeight="false" outlineLevel="0" collapsed="false">
      <c r="A34" s="3" t="s">
        <v>162</v>
      </c>
    </row>
    <row r="35" customFormat="false" ht="31.5" hidden="false" customHeight="true" outlineLevel="0" collapsed="false">
      <c r="A35" s="4" t="s">
        <v>124</v>
      </c>
      <c r="B35" s="33"/>
      <c r="C35" s="4" t="s">
        <v>90</v>
      </c>
      <c r="D35" s="4" t="s">
        <v>95</v>
      </c>
      <c r="E35" s="4" t="s">
        <v>125</v>
      </c>
      <c r="F35" s="4" t="s">
        <v>126</v>
      </c>
      <c r="G35" s="4" t="s">
        <v>98</v>
      </c>
    </row>
    <row r="36" customFormat="false" ht="15" hidden="false" customHeight="false" outlineLevel="0" collapsed="false">
      <c r="A36" s="35" t="s">
        <v>140</v>
      </c>
      <c r="C36" s="37" t="n">
        <f aca="false">SUMIFS(C$5:C$31,B$5:B$31,$A36)</f>
        <v>1791</v>
      </c>
      <c r="D36" s="25" t="n">
        <f aca="false">SUMIFS(M$5:M$31,B$5:B$31,$A36)/SUMIFS(L$5:L$31,B$5:B$31,$A36)</f>
        <v>0.0982691233947515</v>
      </c>
      <c r="E36" s="34" t="n">
        <f aca="false">SUMIFS(N$5:N$31,B$5:B$31,$A36)/SUMIFS(L$5:L$31,B$5:B$31,$A36)</f>
        <v>22.5892797319933</v>
      </c>
      <c r="F36" s="25" t="n">
        <f aca="false">SUMIFS(K$5:K$31,B$5:B$31,$A36)/SUMIFS(J$5:J$31,B$5:B$31,$A36)</f>
        <v>0.227150924389239</v>
      </c>
      <c r="G36" s="26" t="n">
        <f aca="false">SUMIFS(P$5:P$31,B$5:B$31,$A36)/SUMIFS(O$5:O$31,B$5:B$31,$A36)</f>
        <v>4.03100338218715</v>
      </c>
    </row>
    <row r="37" customFormat="false" ht="15" hidden="false" customHeight="false" outlineLevel="0" collapsed="false">
      <c r="A37" s="35" t="s">
        <v>131</v>
      </c>
      <c r="C37" s="37" t="n">
        <f aca="false">SUMIFS(C$5:C$31,B$5:B$31,$A37)</f>
        <v>9015</v>
      </c>
      <c r="D37" s="25" t="n">
        <f aca="false">SUMIFS(M$5:M$31,B$5:B$31,$A37)/SUMIFS(L$5:L$31,B$5:B$31,$A37)</f>
        <v>0.143649473100388</v>
      </c>
      <c r="E37" s="34" t="n">
        <f aca="false">SUMIFS(N$5:N$31,B$5:B$31,$A37)/SUMIFS(L$5:L$31,B$5:B$31,$A37)</f>
        <v>19.9863560732113</v>
      </c>
      <c r="F37" s="25" t="n">
        <f aca="false">SUMIFS(K$5:K$31,B$5:B$31,$A37)/SUMIFS(J$5:J$31,B$5:B$31,$A37)</f>
        <v>0.217344089745602</v>
      </c>
      <c r="G37" s="26" t="n">
        <f aca="false">SUMIFS(P$5:P$31,B$5:B$31,$A37)/SUMIFS(O$5:O$31,B$5:B$31,$A37)</f>
        <v>3.96825751648597</v>
      </c>
    </row>
    <row r="38" customFormat="false" ht="15" hidden="false" customHeight="false" outlineLevel="0" collapsed="false">
      <c r="A38" s="35" t="s">
        <v>145</v>
      </c>
      <c r="C38" s="37" t="n">
        <f aca="false">SUMIFS(C$5:C$31,B$5:B$31,$A38)</f>
        <v>5610</v>
      </c>
      <c r="D38" s="25" t="n">
        <f aca="false">SUMIFS(M$5:M$31,B$5:B$31,$A38)/SUMIFS(L$5:L$31,B$5:B$31,$A38)</f>
        <v>0.0798573975044563</v>
      </c>
      <c r="E38" s="34" t="n">
        <f aca="false">SUMIFS(N$5:N$31,B$5:B$31,$A38)/SUMIFS(L$5:L$31,B$5:B$31,$A38)</f>
        <v>15.0117825311943</v>
      </c>
      <c r="F38" s="25" t="n">
        <f aca="false">SUMIFS(K$5:K$31,B$5:B$31,$A38)/SUMIFS(J$5:J$31,B$5:B$31,$A38)</f>
        <v>0.175877257430595</v>
      </c>
      <c r="G38" s="26" t="n">
        <f aca="false">SUMIFS(P$5:P$31,B$5:B$31,$A38)/SUMIFS(O$5:O$31,B$5:B$31,$A38)</f>
        <v>4.12867383512545</v>
      </c>
    </row>
    <row r="39" customFormat="false" ht="15" hidden="false" customHeight="false" outlineLevel="0" collapsed="false">
      <c r="A39" s="35" t="s">
        <v>138</v>
      </c>
      <c r="C39" s="37" t="n">
        <f aca="false">SUMIFS(C$5:C$31,B$5:B$31,$A39)</f>
        <v>66027</v>
      </c>
      <c r="D39" s="25" t="n">
        <f aca="false">SUMIFS(M$5:M$31,B$5:B$31,$A39)/SUMIFS(L$5:L$31,B$5:B$31,$A39)</f>
        <v>0.0746591941835807</v>
      </c>
      <c r="E39" s="34" t="n">
        <f aca="false">SUMIFS(N$5:N$31,B$5:B$31,$A39)/SUMIFS(L$5:L$31,B$5:B$31,$A39)</f>
        <v>10.7296167827931</v>
      </c>
      <c r="F39" s="25" t="n">
        <f aca="false">SUMIFS(K$5:K$31,B$5:B$31,$A39)/SUMIFS(J$5:J$31,B$5:B$31,$A39)</f>
        <v>0.151915171046878</v>
      </c>
      <c r="G39" s="26" t="n">
        <f aca="false">SUMIFS(P$5:P$31,B$5:B$31,$A39)/SUMIFS(O$5:O$31,B$5:B$31,$A39)</f>
        <v>4.18027361325057</v>
      </c>
    </row>
    <row r="40" customFormat="false" ht="15" hidden="false" customHeight="false" outlineLevel="0" collapsed="false">
      <c r="A40" s="35" t="s">
        <v>150</v>
      </c>
      <c r="C40" s="37" t="n">
        <f aca="false">SUMIFS(C$5:C$31,B$5:B$31,$A40)</f>
        <v>13768</v>
      </c>
      <c r="D40" s="25" t="n">
        <f aca="false">SUMIFS(M$5:M$31,B$5:B$31,$A40)/SUMIFS(L$5:L$31,B$5:B$31,$A40)</f>
        <v>0.0707488922786373</v>
      </c>
      <c r="E40" s="34" t="n">
        <f aca="false">SUMIFS(N$5:N$31,B$5:B$31,$A40)/SUMIFS(L$5:L$31,B$5:B$31,$A40)</f>
        <v>14.0199753032614</v>
      </c>
      <c r="F40" s="25" t="n">
        <f aca="false">SUMIFS(K$5:K$31,B$5:B$31,$A40)/SUMIFS(J$5:J$31,B$5:B$31,$A40)</f>
        <v>0.176878714269546</v>
      </c>
      <c r="G40" s="26" t="n">
        <f aca="false">SUMIFS(P$5:P$31,B$5:B$31,$A40)/SUMIFS(O$5:O$31,B$5:B$31,$A40)</f>
        <v>4.19204379562044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31.5" hidden="false" customHeight="true" outlineLevel="0" collapsed="false">
      <c r="A4" s="4" t="s">
        <v>165</v>
      </c>
      <c r="B4" s="4" t="s">
        <v>90</v>
      </c>
      <c r="C4" s="4" t="s">
        <v>97</v>
      </c>
      <c r="D4" s="4" t="s">
        <v>166</v>
      </c>
      <c r="E4" s="4" t="s">
        <v>98</v>
      </c>
      <c r="F4" s="4" t="s">
        <v>167</v>
      </c>
      <c r="G4" s="4" t="s">
        <v>168</v>
      </c>
      <c r="H4" s="4" t="s">
        <v>169</v>
      </c>
    </row>
    <row r="5" customFormat="false" ht="15" hidden="false" customHeight="false" outlineLevel="0" collapsed="false">
      <c r="A5" s="21" t="s">
        <v>170</v>
      </c>
      <c r="B5" s="22" t="n">
        <v>87963</v>
      </c>
      <c r="C5" s="22" t="n">
        <v>377795</v>
      </c>
      <c r="D5" s="22" t="n">
        <v>8091</v>
      </c>
      <c r="E5" s="26" t="n">
        <f aca="false">C5/B5</f>
        <v>4.29493082318702</v>
      </c>
      <c r="F5" s="25" t="n">
        <f aca="false">D5/B5</f>
        <v>0.0919818560076396</v>
      </c>
      <c r="G5" s="25" t="n">
        <f aca="false">B5/B$9</f>
        <v>0.920500209292591</v>
      </c>
      <c r="H5" s="25" t="n">
        <f aca="false">D5/D$9</f>
        <v>0.661678115799804</v>
      </c>
    </row>
    <row r="6" customFormat="false" ht="15" hidden="false" customHeight="false" outlineLevel="0" collapsed="false">
      <c r="A6" s="21" t="s">
        <v>171</v>
      </c>
      <c r="B6" s="22" t="n">
        <v>2590</v>
      </c>
      <c r="C6" s="22" t="n">
        <v>9703</v>
      </c>
      <c r="D6" s="22" t="n">
        <v>510</v>
      </c>
      <c r="E6" s="26" t="n">
        <f aca="false">C6/B6</f>
        <v>3.74633204633205</v>
      </c>
      <c r="F6" s="25" t="n">
        <f aca="false">D6/B6</f>
        <v>0.196911196911197</v>
      </c>
      <c r="G6" s="25" t="n">
        <f aca="false">B6/B$9</f>
        <v>0.0271033905399749</v>
      </c>
      <c r="H6" s="25" t="n">
        <f aca="false">D6/D$9</f>
        <v>0.0417075564278705</v>
      </c>
    </row>
    <row r="7" customFormat="false" ht="15" hidden="false" customHeight="false" outlineLevel="0" collapsed="false">
      <c r="A7" s="21" t="s">
        <v>172</v>
      </c>
      <c r="B7" s="22" t="n">
        <v>1787</v>
      </c>
      <c r="C7" s="22" t="n">
        <v>4114</v>
      </c>
      <c r="D7" s="22" t="n">
        <v>1102</v>
      </c>
      <c r="E7" s="26" t="n">
        <f aca="false">C7/B7</f>
        <v>2.30218242865137</v>
      </c>
      <c r="F7" s="25" t="n">
        <f aca="false">D7/B7</f>
        <v>0.616675993284835</v>
      </c>
      <c r="G7" s="25" t="n">
        <f aca="false">B7/B$9</f>
        <v>0.0187002930096275</v>
      </c>
      <c r="H7" s="25" t="n">
        <f aca="false">D7/D$9</f>
        <v>0.0901210336931632</v>
      </c>
    </row>
    <row r="8" customFormat="false" ht="15" hidden="false" customHeight="false" outlineLevel="0" collapsed="false">
      <c r="A8" s="21" t="s">
        <v>173</v>
      </c>
      <c r="B8" s="22" t="n">
        <v>3220</v>
      </c>
      <c r="C8" s="22" t="n">
        <v>5564</v>
      </c>
      <c r="D8" s="22" t="n">
        <v>2525</v>
      </c>
      <c r="E8" s="26" t="n">
        <f aca="false">C8/B8</f>
        <v>1.72795031055901</v>
      </c>
      <c r="F8" s="25" t="n">
        <f aca="false">D8/B8</f>
        <v>0.78416149068323</v>
      </c>
      <c r="G8" s="25" t="n">
        <f aca="false">B8/B$9</f>
        <v>0.0336961071578066</v>
      </c>
      <c r="H8" s="25" t="n">
        <f aca="false">D8/D$9</f>
        <v>0.206493294079163</v>
      </c>
    </row>
    <row r="9" customFormat="false" ht="15" hidden="false" customHeight="false" outlineLevel="0" collapsed="false">
      <c r="A9" s="27" t="s">
        <v>120</v>
      </c>
      <c r="B9" s="28" t="n">
        <f aca="false">SUM(B5:B8)</f>
        <v>95560</v>
      </c>
      <c r="C9" s="28" t="n">
        <f aca="false">SUM(C5:C8)</f>
        <v>397176</v>
      </c>
      <c r="D9" s="28" t="n">
        <f aca="false">SUM(D5:D8)</f>
        <v>12228</v>
      </c>
      <c r="E9" s="32" t="n">
        <f aca="false">C9/B9</f>
        <v>4.15629970699037</v>
      </c>
      <c r="F9" s="31" t="n">
        <f aca="false">D9/B9</f>
        <v>0.127961490163248</v>
      </c>
      <c r="G9" s="31" t="n">
        <f aca="false">B9/B$9</f>
        <v>1</v>
      </c>
      <c r="H9" s="31" t="n">
        <f aca="false">D9/D$9</f>
        <v>1</v>
      </c>
    </row>
    <row r="12" customFormat="false" ht="15" hidden="false" customHeight="false" outlineLevel="0" collapsed="false">
      <c r="A12" s="3" t="s">
        <v>174</v>
      </c>
    </row>
    <row r="13" customFormat="false" ht="15" hidden="false" customHeight="false" outlineLevel="0" collapsed="false">
      <c r="A13" s="35" t="s">
        <v>175</v>
      </c>
      <c r="B13" s="25" t="n">
        <f aca="false">SUM(B6:B8)/B9</f>
        <v>0.079499790707409</v>
      </c>
    </row>
    <row r="14" customFormat="false" ht="15" hidden="false" customHeight="false" outlineLevel="0" collapsed="false">
      <c r="A14" s="35" t="s">
        <v>176</v>
      </c>
      <c r="B14" s="25" t="n">
        <f aca="false">SUM(D6:D8)/D9</f>
        <v>0.338321884200196</v>
      </c>
    </row>
    <row r="15" customFormat="false" ht="15" hidden="false" customHeight="false" outlineLevel="0" collapsed="false">
      <c r="A15" s="35" t="s">
        <v>177</v>
      </c>
      <c r="B15" s="26" t="n">
        <f aca="false">E5-E8</f>
        <v>2.56698051262802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9.7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4" customFormat="false" ht="31.5" hidden="false" customHeight="true" outlineLevel="0" collapsed="false">
      <c r="A4" s="4" t="s">
        <v>180</v>
      </c>
      <c r="B4" s="4" t="s">
        <v>91</v>
      </c>
      <c r="C4" s="4" t="s">
        <v>181</v>
      </c>
      <c r="D4" s="4" t="s">
        <v>182</v>
      </c>
    </row>
    <row r="5" customFormat="false" ht="15" hidden="false" customHeight="false" outlineLevel="0" collapsed="false">
      <c r="A5" s="21" t="s">
        <v>183</v>
      </c>
      <c r="B5" s="23" t="n">
        <v>1229557.5</v>
      </c>
      <c r="C5" s="25" t="n">
        <f aca="false">B5/B$16</f>
        <v>0.0932823738145208</v>
      </c>
      <c r="D5" s="25" t="n">
        <f aca="false">SUM(C$5:C5)</f>
        <v>0.0932823738145208</v>
      </c>
    </row>
    <row r="6" customFormat="false" ht="15" hidden="false" customHeight="false" outlineLevel="0" collapsed="false">
      <c r="A6" s="21" t="s">
        <v>184</v>
      </c>
      <c r="B6" s="23" t="n">
        <v>1163465.91</v>
      </c>
      <c r="C6" s="25" t="n">
        <f aca="false">B6/B$16</f>
        <v>0.0882682281528693</v>
      </c>
      <c r="D6" s="25" t="n">
        <f aca="false">SUM(C$5:C6)</f>
        <v>0.18155060196739</v>
      </c>
    </row>
    <row r="7" customFormat="false" ht="15" hidden="false" customHeight="false" outlineLevel="0" collapsed="false">
      <c r="A7" s="21" t="s">
        <v>185</v>
      </c>
      <c r="B7" s="23" t="n">
        <v>1022955.77</v>
      </c>
      <c r="C7" s="25" t="n">
        <f aca="false">B7/B$16</f>
        <v>0.0776081985046335</v>
      </c>
      <c r="D7" s="25" t="n">
        <f aca="false">SUM(C$5:C7)</f>
        <v>0.259158800472024</v>
      </c>
    </row>
    <row r="8" customFormat="false" ht="15" hidden="false" customHeight="false" outlineLevel="0" collapsed="false">
      <c r="A8" s="21" t="s">
        <v>186</v>
      </c>
      <c r="B8" s="23" t="n">
        <v>952840.4</v>
      </c>
      <c r="C8" s="25" t="n">
        <f aca="false">B8/B$16</f>
        <v>0.0722887822475789</v>
      </c>
      <c r="D8" s="25" t="n">
        <f aca="false">SUM(C$5:C8)</f>
        <v>0.331447582719603</v>
      </c>
    </row>
    <row r="9" customFormat="false" ht="15" hidden="false" customHeight="false" outlineLevel="0" collapsed="false">
      <c r="A9" s="21" t="s">
        <v>187</v>
      </c>
      <c r="B9" s="23" t="n">
        <v>888055.59</v>
      </c>
      <c r="C9" s="25" t="n">
        <f aca="false">B9/B$16</f>
        <v>0.0673737775699427</v>
      </c>
      <c r="D9" s="25" t="n">
        <f aca="false">SUM(C$5:C9)</f>
        <v>0.398821360289545</v>
      </c>
    </row>
    <row r="10" customFormat="false" ht="15" hidden="false" customHeight="false" outlineLevel="0" collapsed="false">
      <c r="A10" s="21" t="s">
        <v>188</v>
      </c>
      <c r="B10" s="23" t="n">
        <v>706237.17</v>
      </c>
      <c r="C10" s="25" t="n">
        <f aca="false">B10/B$16</f>
        <v>0.0535798282663879</v>
      </c>
      <c r="D10" s="25" t="n">
        <f aca="false">SUM(C$5:C10)</f>
        <v>0.452401188555933</v>
      </c>
    </row>
    <row r="11" customFormat="false" ht="15" hidden="false" customHeight="false" outlineLevel="0" collapsed="false">
      <c r="A11" s="21" t="s">
        <v>189</v>
      </c>
      <c r="B11" s="23" t="n">
        <v>614341.62</v>
      </c>
      <c r="C11" s="25" t="n">
        <f aca="false">B11/B$16</f>
        <v>0.0466080233308798</v>
      </c>
      <c r="D11" s="25" t="n">
        <f aca="false">SUM(C$5:C11)</f>
        <v>0.499009211886813</v>
      </c>
    </row>
    <row r="12" customFormat="false" ht="15" hidden="false" customHeight="false" outlineLevel="0" collapsed="false">
      <c r="A12" s="21" t="s">
        <v>190</v>
      </c>
      <c r="B12" s="23" t="n">
        <v>609158</v>
      </c>
      <c r="C12" s="25" t="n">
        <f aca="false">B12/B$16</f>
        <v>0.0462147595928664</v>
      </c>
      <c r="D12" s="25" t="n">
        <f aca="false">SUM(C$5:C12)</f>
        <v>0.545223971479679</v>
      </c>
    </row>
    <row r="13" customFormat="false" ht="15" hidden="false" customHeight="false" outlineLevel="0" collapsed="false">
      <c r="A13" s="21" t="s">
        <v>191</v>
      </c>
      <c r="B13" s="23" t="n">
        <v>577838.39</v>
      </c>
      <c r="C13" s="25" t="n">
        <f aca="false">B13/B$16</f>
        <v>0.0438386465865654</v>
      </c>
      <c r="D13" s="25" t="n">
        <f aca="false">SUM(C$5:C13)</f>
        <v>0.589062618066245</v>
      </c>
    </row>
    <row r="14" customFormat="false" ht="15" hidden="false" customHeight="false" outlineLevel="0" collapsed="false">
      <c r="A14" s="21" t="s">
        <v>192</v>
      </c>
      <c r="B14" s="23" t="n">
        <v>469135.4</v>
      </c>
      <c r="C14" s="25" t="n">
        <f aca="false">B14/B$16</f>
        <v>0.0355917179574154</v>
      </c>
      <c r="D14" s="25" t="n">
        <f aca="false">SUM(C$5:C14)</f>
        <v>0.62465433602366</v>
      </c>
    </row>
    <row r="15" customFormat="false" ht="15" hidden="false" customHeight="false" outlineLevel="0" collapsed="false">
      <c r="A15" s="35" t="s">
        <v>193</v>
      </c>
      <c r="B15" s="38" t="n">
        <f aca="false">B16-SUM(B5:B14)</f>
        <v>4947441.38</v>
      </c>
      <c r="C15" s="25" t="n">
        <f aca="false">B15/B$16</f>
        <v>0.37534566397634</v>
      </c>
      <c r="D15" s="25" t="n">
        <f aca="false">SUM(C$5:C15)</f>
        <v>1</v>
      </c>
    </row>
    <row r="16" customFormat="false" ht="15" hidden="false" customHeight="false" outlineLevel="0" collapsed="false">
      <c r="A16" s="39" t="s">
        <v>194</v>
      </c>
      <c r="B16" s="40" t="n">
        <f aca="false">KPIs_Mensais!E25</f>
        <v>13181027.13</v>
      </c>
      <c r="C16" s="41" t="n">
        <f aca="false">B16/B$16</f>
        <v>1</v>
      </c>
      <c r="D16" s="39"/>
    </row>
    <row r="18" customFormat="false" ht="15" hidden="false" customHeight="false" outlineLevel="0" collapsed="false">
      <c r="A18" s="35" t="s">
        <v>195</v>
      </c>
      <c r="B18" s="25" t="n">
        <f aca="false">D14</f>
        <v>0.62465433602366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31.5" hidden="false" customHeight="true" outlineLevel="0" collapsed="false">
      <c r="A4" s="4" t="s">
        <v>198</v>
      </c>
      <c r="B4" s="4" t="s">
        <v>199</v>
      </c>
      <c r="C4" s="4" t="s">
        <v>91</v>
      </c>
      <c r="D4" s="4" t="s">
        <v>200</v>
      </c>
      <c r="E4" s="4" t="s">
        <v>201</v>
      </c>
      <c r="F4" s="4" t="s">
        <v>202</v>
      </c>
    </row>
    <row r="5" customFormat="false" ht="15" hidden="false" customHeight="false" outlineLevel="0" collapsed="false">
      <c r="A5" s="21" t="s">
        <v>203</v>
      </c>
      <c r="B5" s="22" t="n">
        <v>14443</v>
      </c>
      <c r="C5" s="23" t="n">
        <v>3857426.55</v>
      </c>
      <c r="D5" s="25" t="n">
        <f aca="false">B5/B$11</f>
        <v>0.155127599243856</v>
      </c>
      <c r="E5" s="25" t="n">
        <f aca="false">C5/C$11</f>
        <v>0.292649921129477</v>
      </c>
      <c r="F5" s="24" t="n">
        <f aca="false">C5/B5</f>
        <v>267.079315239216</v>
      </c>
    </row>
    <row r="6" customFormat="false" ht="15" hidden="false" customHeight="false" outlineLevel="0" collapsed="false">
      <c r="A6" s="21" t="s">
        <v>204</v>
      </c>
      <c r="B6" s="22" t="n">
        <v>13748</v>
      </c>
      <c r="C6" s="23" t="n">
        <v>3799956.8</v>
      </c>
      <c r="D6" s="25" t="n">
        <f aca="false">B6/B$11</f>
        <v>0.147662828664719</v>
      </c>
      <c r="E6" s="25" t="n">
        <f aca="false">C6/C$11</f>
        <v>0.28828988534219</v>
      </c>
      <c r="F6" s="24" t="n">
        <f aca="false">C6/B6</f>
        <v>276.400698283387</v>
      </c>
    </row>
    <row r="7" customFormat="false" ht="15" hidden="false" customHeight="false" outlineLevel="0" collapsed="false">
      <c r="A7" s="21" t="s">
        <v>205</v>
      </c>
      <c r="B7" s="22" t="n">
        <v>18019</v>
      </c>
      <c r="C7" s="23" t="n">
        <v>2344440.3</v>
      </c>
      <c r="D7" s="25" t="n">
        <f aca="false">B7/B$11</f>
        <v>0.193536260525864</v>
      </c>
      <c r="E7" s="25" t="n">
        <f aca="false">C7/C$11</f>
        <v>0.177864765535916</v>
      </c>
      <c r="F7" s="24" t="n">
        <f aca="false">C7/B7</f>
        <v>130.10934569066</v>
      </c>
    </row>
    <row r="8" customFormat="false" ht="15" hidden="false" customHeight="false" outlineLevel="0" collapsed="false">
      <c r="A8" s="21" t="s">
        <v>206</v>
      </c>
      <c r="B8" s="22" t="n">
        <v>22503</v>
      </c>
      <c r="C8" s="23" t="n">
        <v>1254586.32</v>
      </c>
      <c r="D8" s="25" t="n">
        <f aca="false">B8/B$11</f>
        <v>0.241697456607665</v>
      </c>
      <c r="E8" s="25" t="n">
        <f aca="false">C8/C$11</f>
        <v>0.0951812258351675</v>
      </c>
      <c r="F8" s="24" t="n">
        <f aca="false">C8/B8</f>
        <v>55.7519584055459</v>
      </c>
    </row>
    <row r="9" customFormat="false" ht="15" hidden="false" customHeight="false" outlineLevel="0" collapsed="false">
      <c r="A9" s="21" t="s">
        <v>207</v>
      </c>
      <c r="B9" s="22" t="n">
        <v>21602</v>
      </c>
      <c r="C9" s="23" t="n">
        <v>1199262.12</v>
      </c>
      <c r="D9" s="25" t="n">
        <f aca="false">B9/B$11</f>
        <v>0.232020106547517</v>
      </c>
      <c r="E9" s="25" t="n">
        <f aca="false">C9/C$11</f>
        <v>0.0909839656782499</v>
      </c>
      <c r="F9" s="24" t="n">
        <f aca="false">C9/B9</f>
        <v>55.5162540505509</v>
      </c>
    </row>
    <row r="10" customFormat="false" ht="15" hidden="false" customHeight="false" outlineLevel="0" collapsed="false">
      <c r="A10" s="21" t="s">
        <v>208</v>
      </c>
      <c r="B10" s="22" t="n">
        <v>2789</v>
      </c>
      <c r="C10" s="23" t="n">
        <v>725355.04</v>
      </c>
      <c r="D10" s="25" t="n">
        <f aca="false">B10/B$11</f>
        <v>0.0299557484103798</v>
      </c>
      <c r="E10" s="25" t="n">
        <f aca="false">C10/C$11</f>
        <v>0.0550302364789989</v>
      </c>
      <c r="F10" s="24" t="n">
        <f aca="false">C10/B10</f>
        <v>260.077102904267</v>
      </c>
    </row>
    <row r="11" customFormat="false" ht="15" hidden="false" customHeight="false" outlineLevel="0" collapsed="false">
      <c r="A11" s="27" t="s">
        <v>120</v>
      </c>
      <c r="B11" s="28" t="n">
        <f aca="false">SUM(B5:B10)</f>
        <v>93104</v>
      </c>
      <c r="C11" s="29" t="n">
        <f aca="false">SUM(C5:C10)</f>
        <v>13181027.13</v>
      </c>
      <c r="D11" s="31" t="n">
        <f aca="false">B11/B11</f>
        <v>1</v>
      </c>
      <c r="E11" s="31" t="n">
        <f aca="false">C11/C11</f>
        <v>1</v>
      </c>
      <c r="F11" s="30" t="n">
        <f aca="false">C11/B11</f>
        <v>141.573156147964</v>
      </c>
    </row>
    <row r="14" customFormat="false" ht="15" hidden="false" customHeight="false" outlineLevel="0" collapsed="false">
      <c r="A14" s="3" t="s">
        <v>174</v>
      </c>
    </row>
    <row r="15" customFormat="false" ht="15" hidden="false" customHeight="false" outlineLevel="0" collapsed="false">
      <c r="A15" s="35" t="s">
        <v>209</v>
      </c>
      <c r="B15" s="25" t="n">
        <f aca="false">INDEX(B5:B10,MATCH("Recorrentes",A5:A10,0))/B11</f>
        <v>0.0299557484103798</v>
      </c>
    </row>
    <row r="16" customFormat="false" ht="15" hidden="false" customHeight="false" outlineLevel="0" collapsed="false">
      <c r="A16" s="35" t="s">
        <v>210</v>
      </c>
      <c r="B16" s="25" t="n">
        <f aca="false">INDEX(E5:E10,MATCH("Inativos de alto valor",A5:A10,0))</f>
        <v>0.28828988534219</v>
      </c>
    </row>
    <row r="17" customFormat="false" ht="15" hidden="false" customHeight="false" outlineLevel="0" collapsed="false">
      <c r="A17" s="35" t="s">
        <v>211</v>
      </c>
      <c r="B17" s="37" t="n">
        <f aca="false">INDEX(B5:B10,MATCH("Inativos de alto valor",A5:A10,0))</f>
        <v>13748</v>
      </c>
    </row>
    <row r="18" customFormat="false" ht="15" hidden="false" customHeight="false" outlineLevel="0" collapsed="false">
      <c r="A18" s="35" t="s">
        <v>212</v>
      </c>
      <c r="B18" s="24" t="n">
        <f aca="false">INDEX(F5:F10,MATCH("Inativos de alto valor",A5:A10,0))</f>
        <v>276.400698283387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213</v>
      </c>
    </row>
    <row r="2" customFormat="false" ht="15" hidden="false" customHeight="false" outlineLevel="0" collapsed="false">
      <c r="A2" s="2" t="s">
        <v>214</v>
      </c>
    </row>
    <row r="4" customFormat="false" ht="31.5" hidden="false" customHeight="true" outlineLevel="0" collapsed="false">
      <c r="A4" s="4" t="s">
        <v>215</v>
      </c>
      <c r="B4" s="4" t="s">
        <v>216</v>
      </c>
      <c r="C4" s="4" t="s">
        <v>91</v>
      </c>
      <c r="D4" s="4" t="s">
        <v>217</v>
      </c>
      <c r="E4" s="4" t="s">
        <v>201</v>
      </c>
      <c r="F4" s="4" t="s">
        <v>218</v>
      </c>
    </row>
    <row r="5" customFormat="false" ht="15" hidden="false" customHeight="false" outlineLevel="0" collapsed="false">
      <c r="A5" s="21" t="n">
        <v>1</v>
      </c>
      <c r="B5" s="22" t="n">
        <v>589</v>
      </c>
      <c r="C5" s="23" t="n">
        <v>10834665.6</v>
      </c>
      <c r="D5" s="25" t="n">
        <f aca="false">B5/B$10</f>
        <v>0.2</v>
      </c>
      <c r="E5" s="25" t="n">
        <f aca="false">C5/C$10</f>
        <v>0.821989477234313</v>
      </c>
      <c r="F5" s="25" t="n">
        <f aca="false">SUM(E$5:E5)</f>
        <v>0.821989477234313</v>
      </c>
    </row>
    <row r="6" customFormat="false" ht="15" hidden="false" customHeight="false" outlineLevel="0" collapsed="false">
      <c r="A6" s="21" t="n">
        <v>2</v>
      </c>
      <c r="B6" s="22" t="n">
        <v>589</v>
      </c>
      <c r="C6" s="23" t="n">
        <v>1576670.32</v>
      </c>
      <c r="D6" s="25" t="n">
        <f aca="false">B6/B$10</f>
        <v>0.2</v>
      </c>
      <c r="E6" s="25" t="n">
        <f aca="false">C6/C$10</f>
        <v>0.119616650845935</v>
      </c>
      <c r="F6" s="25" t="n">
        <f aca="false">SUM(E$5:E6)</f>
        <v>0.941606128080248</v>
      </c>
    </row>
    <row r="7" customFormat="false" ht="15" hidden="false" customHeight="false" outlineLevel="0" collapsed="false">
      <c r="A7" s="21" t="n">
        <v>3</v>
      </c>
      <c r="B7" s="22" t="n">
        <v>589</v>
      </c>
      <c r="C7" s="23" t="n">
        <v>532432.4</v>
      </c>
      <c r="D7" s="25" t="n">
        <f aca="false">B7/B$10</f>
        <v>0.2</v>
      </c>
      <c r="E7" s="25" t="n">
        <f aca="false">C7/C$10</f>
        <v>0.0403938475164947</v>
      </c>
      <c r="F7" s="25" t="n">
        <f aca="false">SUM(E$5:E7)</f>
        <v>0.981999975596743</v>
      </c>
    </row>
    <row r="8" customFormat="false" ht="15" hidden="false" customHeight="false" outlineLevel="0" collapsed="false">
      <c r="A8" s="21" t="n">
        <v>4</v>
      </c>
      <c r="B8" s="22" t="n">
        <v>589</v>
      </c>
      <c r="C8" s="23" t="n">
        <v>186749.14</v>
      </c>
      <c r="D8" s="25" t="n">
        <f aca="false">B8/B$10</f>
        <v>0.2</v>
      </c>
      <c r="E8" s="25" t="n">
        <f aca="false">C8/C$10</f>
        <v>0.0141680263729189</v>
      </c>
      <c r="F8" s="25" t="n">
        <f aca="false">SUM(E$5:E8)</f>
        <v>0.996168001969661</v>
      </c>
    </row>
    <row r="9" customFormat="false" ht="15" hidden="false" customHeight="false" outlineLevel="0" collapsed="false">
      <c r="A9" s="21" t="n">
        <v>5</v>
      </c>
      <c r="B9" s="22" t="n">
        <v>589</v>
      </c>
      <c r="C9" s="23" t="n">
        <v>50509.67</v>
      </c>
      <c r="D9" s="25" t="n">
        <f aca="false">B9/B$10</f>
        <v>0.2</v>
      </c>
      <c r="E9" s="25" t="n">
        <f aca="false">C9/C$10</f>
        <v>0.00383199803033863</v>
      </c>
      <c r="F9" s="25" t="n">
        <f aca="false">SUM(E$5:E9)</f>
        <v>1</v>
      </c>
    </row>
    <row r="10" customFormat="false" ht="15" hidden="false" customHeight="false" outlineLevel="0" collapsed="false">
      <c r="A10" s="27" t="s">
        <v>120</v>
      </c>
      <c r="B10" s="28" t="n">
        <f aca="false">SUM(B5:B9)</f>
        <v>2945</v>
      </c>
      <c r="C10" s="29" t="n">
        <f aca="false">SUM(C5:C9)</f>
        <v>13181027.13</v>
      </c>
      <c r="D10" s="31" t="n">
        <f aca="false">B10/B10</f>
        <v>1</v>
      </c>
      <c r="E10" s="31" t="n">
        <f aca="false">C10/C10</f>
        <v>1</v>
      </c>
      <c r="F10" s="27"/>
    </row>
    <row r="13" customFormat="false" ht="15" hidden="false" customHeight="false" outlineLevel="0" collapsed="false">
      <c r="A13" s="35" t="s">
        <v>219</v>
      </c>
      <c r="B13" s="25" t="n">
        <f aca="false">E5</f>
        <v>0.821989477234313</v>
      </c>
    </row>
    <row r="14" customFormat="false" ht="15" hidden="false" customHeight="false" outlineLevel="0" collapsed="false">
      <c r="A14" s="35" t="s">
        <v>220</v>
      </c>
      <c r="B14" s="25" t="n">
        <f aca="false">E8+E9</f>
        <v>0.0180000244032576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3" customFormat="false" ht="15" hidden="false" customHeight="false" outlineLevel="0" collapsed="false">
      <c r="A3" s="3" t="s">
        <v>223</v>
      </c>
    </row>
    <row r="4" customFormat="false" ht="31.5" hidden="false" customHeight="true" outlineLevel="0" collapsed="false">
      <c r="A4" s="4" t="s">
        <v>224</v>
      </c>
      <c r="B4" s="4" t="s">
        <v>90</v>
      </c>
      <c r="C4" s="4" t="s">
        <v>94</v>
      </c>
      <c r="D4" s="4" t="s">
        <v>225</v>
      </c>
      <c r="E4" s="4" t="s">
        <v>168</v>
      </c>
    </row>
    <row r="5" customFormat="false" ht="15" hidden="false" customHeight="false" outlineLevel="0" collapsed="false">
      <c r="A5" s="21" t="s">
        <v>226</v>
      </c>
      <c r="B5" s="22" t="n">
        <v>1685</v>
      </c>
      <c r="C5" s="22" t="n">
        <v>512</v>
      </c>
      <c r="D5" s="25" t="n">
        <f aca="false">C5/B5</f>
        <v>0.303857566765579</v>
      </c>
      <c r="E5" s="25" t="n">
        <f aca="false">B5/B$10</f>
        <v>0.0227070587284047</v>
      </c>
    </row>
    <row r="6" customFormat="false" ht="15" hidden="false" customHeight="false" outlineLevel="0" collapsed="false">
      <c r="A6" s="21" t="s">
        <v>227</v>
      </c>
      <c r="B6" s="22" t="n">
        <v>9650</v>
      </c>
      <c r="C6" s="22" t="n">
        <v>1449</v>
      </c>
      <c r="D6" s="25" t="n">
        <f aca="false">C6/B6</f>
        <v>0.150155440414508</v>
      </c>
      <c r="E6" s="25" t="n">
        <f aca="false">B6/B$10</f>
        <v>0.13004339271757</v>
      </c>
    </row>
    <row r="7" customFormat="false" ht="15" hidden="false" customHeight="false" outlineLevel="0" collapsed="false">
      <c r="A7" s="21" t="s">
        <v>228</v>
      </c>
      <c r="B7" s="22" t="n">
        <v>19620</v>
      </c>
      <c r="C7" s="22" t="n">
        <v>2179</v>
      </c>
      <c r="D7" s="25" t="n">
        <f aca="false">C7/B7</f>
        <v>0.111060142711519</v>
      </c>
      <c r="E7" s="25" t="n">
        <f aca="false">B7/B$10</f>
        <v>0.26439910519365</v>
      </c>
    </row>
    <row r="8" customFormat="false" ht="15" hidden="false" customHeight="false" outlineLevel="0" collapsed="false">
      <c r="A8" s="21" t="s">
        <v>229</v>
      </c>
      <c r="B8" s="22" t="n">
        <v>21981</v>
      </c>
      <c r="C8" s="22" t="n">
        <v>1829</v>
      </c>
      <c r="D8" s="25" t="n">
        <f aca="false">C8/B8</f>
        <v>0.0832082252854738</v>
      </c>
      <c r="E8" s="25" t="n">
        <f aca="false">B8/B$10</f>
        <v>0.296215939411907</v>
      </c>
    </row>
    <row r="9" customFormat="false" ht="15" hidden="false" customHeight="false" outlineLevel="0" collapsed="false">
      <c r="A9" s="21" t="s">
        <v>230</v>
      </c>
      <c r="B9" s="22" t="n">
        <v>21270</v>
      </c>
      <c r="C9" s="22" t="n">
        <v>933</v>
      </c>
      <c r="D9" s="25" t="n">
        <f aca="false">C9/B9</f>
        <v>0.0438645980253879</v>
      </c>
      <c r="E9" s="25" t="n">
        <f aca="false">B9/B$10</f>
        <v>0.286634503948468</v>
      </c>
    </row>
    <row r="10" customFormat="false" ht="15" hidden="false" customHeight="false" outlineLevel="0" collapsed="false">
      <c r="A10" s="27" t="s">
        <v>120</v>
      </c>
      <c r="B10" s="28" t="n">
        <f aca="false">SUM(B5:B9)</f>
        <v>74206</v>
      </c>
      <c r="C10" s="28" t="n">
        <f aca="false">SUM(C5:C9)</f>
        <v>6902</v>
      </c>
      <c r="D10" s="31" t="n">
        <f aca="false">C10/B10</f>
        <v>0.0930113467913646</v>
      </c>
      <c r="E10" s="31" t="n">
        <f aca="false">B10/B10</f>
        <v>1</v>
      </c>
    </row>
    <row r="11" customFormat="false" ht="15" hidden="false" customHeight="false" outlineLevel="0" collapsed="false">
      <c r="A11" s="35" t="s">
        <v>231</v>
      </c>
      <c r="B11" s="42" t="n">
        <f aca="false">D5/D9</f>
        <v>6.9271708950738</v>
      </c>
    </row>
    <row r="13" customFormat="false" ht="15" hidden="false" customHeight="false" outlineLevel="0" collapsed="false">
      <c r="A13" s="3" t="s">
        <v>232</v>
      </c>
    </row>
    <row r="14" customFormat="false" ht="31.5" hidden="false" customHeight="true" outlineLevel="0" collapsed="false">
      <c r="A14" s="4" t="s">
        <v>233</v>
      </c>
      <c r="B14" s="4" t="s">
        <v>234</v>
      </c>
      <c r="C14" s="4" t="s">
        <v>235</v>
      </c>
      <c r="D14" s="4" t="s">
        <v>236</v>
      </c>
    </row>
    <row r="15" customFormat="false" ht="15" hidden="false" customHeight="false" outlineLevel="0" collapsed="false">
      <c r="A15" s="43" t="n">
        <v>0.05</v>
      </c>
      <c r="B15" s="44" t="n">
        <v>0.1443</v>
      </c>
      <c r="C15" s="44" t="n">
        <v>0.2303</v>
      </c>
      <c r="D15" s="45" t="n">
        <v>2.892</v>
      </c>
    </row>
    <row r="16" customFormat="false" ht="15" hidden="false" customHeight="false" outlineLevel="0" collapsed="false">
      <c r="A16" s="43" t="n">
        <v>0.1</v>
      </c>
      <c r="B16" s="44" t="n">
        <v>0.2684</v>
      </c>
      <c r="C16" s="44" t="n">
        <v>0.2221</v>
      </c>
      <c r="D16" s="45" t="n">
        <v>2.687</v>
      </c>
    </row>
    <row r="17" customFormat="false" ht="15" hidden="false" customHeight="false" outlineLevel="0" collapsed="false">
      <c r="A17" s="43" t="n">
        <v>0.2</v>
      </c>
      <c r="B17" s="44" t="n">
        <v>0.4364</v>
      </c>
      <c r="C17" s="44" t="n">
        <v>0.1864</v>
      </c>
      <c r="D17" s="45" t="n">
        <v>2.183</v>
      </c>
    </row>
    <row r="18" customFormat="false" ht="15" hidden="false" customHeight="false" outlineLevel="0" collapsed="false">
      <c r="A18" s="43" t="n">
        <v>0.3</v>
      </c>
      <c r="B18" s="44" t="n">
        <v>0.56</v>
      </c>
      <c r="C18" s="44" t="n">
        <v>0.1629</v>
      </c>
      <c r="D18" s="45" t="n">
        <v>1.867</v>
      </c>
    </row>
    <row r="20" customFormat="false" ht="15" hidden="false" customHeight="false" outlineLevel="0" collapsed="false">
      <c r="A20" s="3" t="s">
        <v>237</v>
      </c>
    </row>
    <row r="21" customFormat="false" ht="31.5" hidden="false" customHeight="true" outlineLevel="0" collapsed="false">
      <c r="A21" s="4" t="s">
        <v>238</v>
      </c>
      <c r="B21" s="4" t="s">
        <v>239</v>
      </c>
      <c r="C21" s="4" t="s">
        <v>240</v>
      </c>
      <c r="D21" s="4" t="s">
        <v>241</v>
      </c>
      <c r="E21" s="4" t="s">
        <v>242</v>
      </c>
      <c r="F21" s="4" t="s">
        <v>243</v>
      </c>
    </row>
    <row r="22" customFormat="false" ht="15" hidden="false" customHeight="false" outlineLevel="0" collapsed="false">
      <c r="A22" s="46" t="s">
        <v>244</v>
      </c>
      <c r="B22" s="47" t="n">
        <v>0.694</v>
      </c>
      <c r="C22" s="47" t="n">
        <v>0.049</v>
      </c>
      <c r="D22" s="47" t="n">
        <v>0.617</v>
      </c>
      <c r="E22" s="48" t="n">
        <v>0.2684</v>
      </c>
      <c r="F22" s="49" t="n">
        <v>2.687</v>
      </c>
    </row>
    <row r="23" customFormat="false" ht="15" hidden="false" customHeight="false" outlineLevel="0" collapsed="false">
      <c r="A23" s="21" t="s">
        <v>245</v>
      </c>
      <c r="B23" s="50" t="n">
        <v>0.675</v>
      </c>
      <c r="C23" s="50" t="n">
        <v>0.061</v>
      </c>
      <c r="D23" s="50" t="n">
        <v>0.59</v>
      </c>
      <c r="E23" s="44" t="n">
        <v>0.2449</v>
      </c>
      <c r="F23" s="45" t="n">
        <v>2.451</v>
      </c>
    </row>
    <row r="24" customFormat="false" ht="15" hidden="false" customHeight="false" outlineLevel="0" collapsed="false">
      <c r="A24" s="21" t="s">
        <v>246</v>
      </c>
      <c r="B24" s="50" t="n">
        <v>0.65</v>
      </c>
      <c r="C24" s="50" t="n">
        <v>0.087</v>
      </c>
      <c r="D24" s="50" t="n">
        <v>0.444</v>
      </c>
      <c r="E24" s="44" t="n">
        <v>0.2331</v>
      </c>
      <c r="F24" s="45" t="n">
        <v>2.333</v>
      </c>
    </row>
    <row r="25" customFormat="false" ht="15" hidden="false" customHeight="false" outlineLevel="0" collapsed="false">
      <c r="A25" s="21" t="s">
        <v>247</v>
      </c>
      <c r="B25" s="50" t="n">
        <v>0.602</v>
      </c>
      <c r="C25" s="50" t="n">
        <v>0.09</v>
      </c>
      <c r="D25" s="50" t="n">
        <v>0.369</v>
      </c>
      <c r="E25" s="44" t="n">
        <v>0.1494</v>
      </c>
      <c r="F25" s="45" t="n">
        <v>1.496</v>
      </c>
    </row>
    <row r="26" customFormat="false" ht="15" hidden="false" customHeight="false" outlineLevel="0" collapsed="false">
      <c r="A26" s="21" t="s">
        <v>248</v>
      </c>
      <c r="B26" s="50" t="n">
        <v>0.588</v>
      </c>
      <c r="C26" s="50" t="n">
        <v>0.066</v>
      </c>
      <c r="D26" s="50" t="n">
        <v>0.497</v>
      </c>
      <c r="E26" s="44" t="n">
        <v>0.1361</v>
      </c>
      <c r="F26" s="45" t="n">
        <v>1.362</v>
      </c>
    </row>
    <row r="27" customFormat="false" ht="15" hidden="false" customHeight="false" outlineLevel="0" collapsed="false">
      <c r="A27" s="21" t="s">
        <v>249</v>
      </c>
      <c r="B27" s="50" t="n">
        <v>0.548</v>
      </c>
      <c r="C27" s="50" t="n">
        <v>0.103</v>
      </c>
      <c r="D27" s="50" t="n">
        <v>0.443</v>
      </c>
      <c r="E27" s="44" t="n">
        <v>0.1164</v>
      </c>
      <c r="F27" s="45" t="n">
        <v>1.165</v>
      </c>
    </row>
    <row r="29" customFormat="false" ht="15" hidden="false" customHeight="false" outlineLevel="0" collapsed="false">
      <c r="A29" s="2" t="s">
        <v>250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4" customFormat="false" ht="31.5" hidden="false" customHeight="true" outlineLevel="0" collapsed="false">
      <c r="A4" s="4" t="s">
        <v>253</v>
      </c>
      <c r="B4" s="4" t="s">
        <v>254</v>
      </c>
    </row>
    <row r="5" customFormat="false" ht="30" hidden="false" customHeight="true" outlineLevel="0" collapsed="false">
      <c r="A5" s="12" t="s">
        <v>255</v>
      </c>
      <c r="B5" s="17" t="s">
        <v>256</v>
      </c>
    </row>
    <row r="6" customFormat="false" ht="30" hidden="false" customHeight="true" outlineLevel="0" collapsed="false">
      <c r="A6" s="12" t="s">
        <v>257</v>
      </c>
      <c r="B6" s="17" t="s">
        <v>258</v>
      </c>
    </row>
    <row r="7" customFormat="false" ht="30" hidden="false" customHeight="true" outlineLevel="0" collapsed="false">
      <c r="A7" s="12" t="s">
        <v>259</v>
      </c>
      <c r="B7" s="17" t="s">
        <v>260</v>
      </c>
    </row>
    <row r="8" customFormat="false" ht="30" hidden="false" customHeight="true" outlineLevel="0" collapsed="false">
      <c r="A8" s="12" t="s">
        <v>261</v>
      </c>
      <c r="B8" s="17" t="s">
        <v>262</v>
      </c>
    </row>
    <row r="9" customFormat="false" ht="30" hidden="false" customHeight="true" outlineLevel="0" collapsed="false">
      <c r="A9" s="12" t="s">
        <v>263</v>
      </c>
      <c r="B9" s="17" t="s">
        <v>264</v>
      </c>
    </row>
    <row r="10" customFormat="false" ht="30" hidden="false" customHeight="true" outlineLevel="0" collapsed="false">
      <c r="A10" s="12" t="s">
        <v>98</v>
      </c>
      <c r="B10" s="17" t="s">
        <v>265</v>
      </c>
    </row>
    <row r="11" customFormat="false" ht="30" hidden="false" customHeight="true" outlineLevel="0" collapsed="false">
      <c r="A11" s="12" t="s">
        <v>266</v>
      </c>
      <c r="B11" s="17" t="s">
        <v>267</v>
      </c>
    </row>
    <row r="12" customFormat="false" ht="30" hidden="false" customHeight="true" outlineLevel="0" collapsed="false">
      <c r="A12" s="12" t="s">
        <v>268</v>
      </c>
      <c r="B12" s="17" t="s">
        <v>269</v>
      </c>
    </row>
    <row r="13" customFormat="false" ht="30" hidden="false" customHeight="true" outlineLevel="0" collapsed="false">
      <c r="A13" s="12" t="s">
        <v>270</v>
      </c>
      <c r="B13" s="17" t="s">
        <v>271</v>
      </c>
    </row>
    <row r="14" customFormat="false" ht="30" hidden="false" customHeight="true" outlineLevel="0" collapsed="false">
      <c r="A14" s="12" t="s">
        <v>272</v>
      </c>
      <c r="B14" s="17" t="s">
        <v>273</v>
      </c>
    </row>
    <row r="15" customFormat="false" ht="30" hidden="false" customHeight="true" outlineLevel="0" collapsed="false">
      <c r="A15" s="12" t="s">
        <v>274</v>
      </c>
      <c r="B15" s="17" t="s">
        <v>275</v>
      </c>
    </row>
    <row r="16" customFormat="false" ht="30" hidden="false" customHeight="true" outlineLevel="0" collapsed="false">
      <c r="A16" s="12" t="s">
        <v>276</v>
      </c>
      <c r="B16" s="17" t="s">
        <v>277</v>
      </c>
    </row>
    <row r="17" customFormat="false" ht="30" hidden="false" customHeight="true" outlineLevel="0" collapsed="false">
      <c r="A17" s="12" t="s">
        <v>278</v>
      </c>
      <c r="B17" s="17" t="s">
        <v>279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2026-10-06T20:24:13Z</dcterms:created>
  <dc:creator>openpyxl</dc:creator>
  <dc:description/>
  <dc:language>en-US</dc:language>
  <cp:lastModifiedBy/>
  <dcterms:modified xsi:type="dcterms:W3CDTF">2026-10-06T20:24:14Z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